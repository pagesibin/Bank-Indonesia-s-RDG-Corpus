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angsibin/Desktop/논문 자료/out/"/>
    </mc:Choice>
  </mc:AlternateContent>
  <xr:revisionPtr revIDLastSave="0" documentId="13_ncr:1_{DE434319-86C0-BF49-8F52-DE34872815F3}" xr6:coauthVersionLast="47" xr6:coauthVersionMax="47" xr10:uidLastSave="{00000000-0000-0000-0000-000000000000}"/>
  <bookViews>
    <workbookView xWindow="0" yWindow="2060" windowWidth="38400" windowHeight="19540" activeTab="1" xr2:uid="{00000000-000D-0000-FFFF-FFFF00000000}"/>
  </bookViews>
  <sheets>
    <sheet name="Guide" sheetId="1" r:id="rId1"/>
    <sheet name="Label" sheetId="2" r:id="rId2"/>
    <sheet name="Key" sheetId="3" state="hidden" r:id="rId3"/>
  </sheets>
  <definedNames>
    <definedName name="_xlnm._FilterDatabase" localSheetId="1" hidden="1">Label!$A$1:$H$221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 l="1"/>
  <c r="B34" i="1"/>
  <c r="B33" i="1"/>
  <c r="B30" i="1"/>
  <c r="B29" i="1"/>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B32" i="1" l="1"/>
  <c r="B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labeling sheet</author>
  </authors>
  <commentList>
    <comment ref="D1" authorId="0" shapeId="0" xr:uid="{00000000-0006-0000-0100-000001000000}">
      <text>
        <r>
          <rPr>
            <sz val="11"/>
            <color rgb="FF000000"/>
            <rFont val="맑은 고딕"/>
            <family val="2"/>
            <charset val="129"/>
          </rPr>
          <t>Pick from the list: Hawkish / Neutral / Dovish</t>
        </r>
      </text>
    </comment>
    <comment ref="H1" authorId="0" shapeId="0" xr:uid="{00000000-0006-0000-0100-000002000000}">
      <text>
        <r>
          <rPr>
            <sz val="11"/>
            <color rgb="FF000000"/>
            <rFont val="맑은 고딕"/>
            <family val="2"/>
            <charset val="129"/>
          </rPr>
          <t>Filled automatically: Hawkish = +1, Neutral = 0, Dovish = -1</t>
        </r>
      </text>
    </comment>
  </commentList>
</comments>
</file>

<file path=xl/sharedStrings.xml><?xml version="1.0" encoding="utf-8"?>
<sst xmlns="http://schemas.openxmlformats.org/spreadsheetml/2006/main" count="2508" uniqueCount="963">
  <si>
    <t>Item</t>
  </si>
  <si>
    <t>Topic</t>
  </si>
  <si>
    <t>Text (heading + paragraph)</t>
  </si>
  <si>
    <t>Label</t>
  </si>
  <si>
    <t>Confidence (1-3)</t>
  </si>
  <si>
    <t>Forward-looking (Y/N)</t>
  </si>
  <si>
    <t>Notes</t>
  </si>
  <si>
    <t>Score</t>
  </si>
  <si>
    <t>S001</t>
  </si>
  <si>
    <t>Global</t>
  </si>
  <si>
    <t>Ekonomi global diperkirakan tumbuh lebih lambat pada tahun 2016. Pemulihan ekonomi AS masih belum solid, yang diindikasikan oleh melemahnya konsumsi dan beberapa indikator ketenagakerjaan, serta masih rendahnya inflasi. Kondisi ini diperkirakan akan mendorong The Fed untuk tetap secara berhati-hati dalam melakukan penyesuaian suku bunga Fed Fund Rate (FFR). Sejalan dengan itu, pertumbuhan ekonomi Eropa juga masih terbatas dan dibayangi isu Brexit. Sementara itu, perekonomian Jepang masih terus tertekan. Kondisi tersebut mendorong berlanjutnya pelonggaran kebijakan moneter di negara-negara maju, termasuk melalui penerapan suku bunga negatif. Di sisi lain, ekonomi Tiongkok mulai membaik, meskipun masih berisiko, ditopang oleh sektor konstruksi dan real estate. Di pasar komoditas, harga minyak dunia diperkirakan tetap rendah, akibat tingginya pasokan di tengah permintaan yang masih lemah. Namun, harga beberapa komoditas ekspor Indonesia membaik, seperti CPO, timah, dan karet</t>
  </si>
  <si>
    <t>S002</t>
  </si>
  <si>
    <t>Other</t>
  </si>
  <si>
    <t>Penyesuaian ekonomi Indonesia yang terkendali ditopang oleh stabilitas sistem keuangan yang tetap terjaga. Ketahanan industri perbankan tetap solid dengan risiko kredit, likuiditas dan pasar yang cukup terjaga, serta dengan dukungan ketahanan modal yang masih kuat. Pertumbuhan kredit perbankan menurun dari 21,9% pada November 2013 menjadi 21,4% (atau 17,4% dengan menetralkan depresiasi nilai tukar) pada Desember 2013 sejalan dengan permintaan domestik yang melambat dan kenaikan suku bunga. Bank Indonesia akan berkoordinasi dengan OJK untuk mengarahkan pertumbuhan kredit ke depan sejalan dengan moderasi pertumbuhan permintaan domestik. Sementara itu, kinerja pasar saham pada Januari 2014 membaik ditandai dengan kenaikan IHSG. Perkembangan berbeda terlihat pada kinerja pasar obligasi pemerintah yang menurun tercermin pada kenaikan imbal hasil SBN Jakarta, 13 Februari 2014 Departemen Komunikasi Tirta Segara Direktur Eksekutif Laporan lengkap mengenai perkembangan ekonomi makro dan kebijakan moneter yang dibahas pada RDG Februari 2014 dapat dilihat dalam Tinjauan Kebijakan Moneter (TKM) di Website Bank Indonesia</t>
  </si>
  <si>
    <t>S003</t>
  </si>
  <si>
    <t>Growth</t>
  </si>
  <si>
    <t>Pertumbuhan ekonomi global semakin tidak merata dan disertai ketidakpastian di pasar keuangan global yang masih tinggi. Ekonomi AS diperkirakan tetap kuat didukung akselerasi konsumsi dan investasi, dan dibarengi tekanan inflasi yang tetap tinggi. Sesuai dengan perkiraan, The Fed menaikkan suku bunga kebijakan Fed Fund Rate (FFR) sebesar 25 bps sebagai bagian dari proses normalisasi kebijakan moneternya. Sementara itu, pertumbuhan ekonomi negara-negara emerging market dan Eropa diperkirakan lebih rendah dari prakiraan. Ekonomi Jepang dan Tiongkok bahkan cenderung menurun. Ketidakmerataan pertumbuhan ekonomi global tersebut tidak terlepas dari ketegangan perdagangan antara AS dengan sejumlah negara lain. Tingginya ketidakpastian di pasar keuangan global juga mendorong para investor menempatkan dananya di aset-aset yang dianggap aman, khususnya di AS. Berbagai perkembangan tersebut pada gilirannya mengakibatkan dolar AS terus menguat yang kemudian mendorong aliran modal keluar dari negara-negara emerging market dan akhirnya menekan banyak mata uang negara berkembang</t>
  </si>
  <si>
    <t>S004</t>
  </si>
  <si>
    <t>Ketidakpastian pasar keuangan global tetap tinggi di tengah prospek perekonomian dunia yang lebih kuat. Pertumbuhan ekonomi global pada 2024 diprakirakan mencapai 3,2%, lebih tinggi dari prakiraan awal, terutama dengan lebih baiknya pertumbuhan India dan Tiongkok. Ekonomi Amerika Serikat (AS) tumbuh kuat ditopang oleh perbaikan permintaan domestik dan peningkatan ekspor dengan penurunan inflasi AS yang masih berjalan lambat. Kondisi ini mendorong Fed Fund Rate (FFR) diprakirakan baru akan turun pada akhir tahun 2024. Sementara itu, European Central Bank (ECB) telah menurunkan suku bunga kebijakan moneternya lebih cepat sejalan dengan tekanan inflasi yang lebih rendah. Divergensi kebijakan moneter negara maju ini serta masih tingginya ketegangan geopolitik menyebabkan ketidakpastian pasar keuangan global tetap tinggi. Berbagai perkembangan tersebut, dan dengan tingginya yield US treasury , menyebabkan menguatnya nilai tukar dolar AS sehingga meningkatkan tekanan pelemahan nilai tukar berbagai mata uang dunia dan menahan aliran masuk modal asing ke negara berkembang. Ketidakpastian pasar keuangan global yang tinggi ini memerlukan respons kebijakan yang kuat untuk memitigasi dampak negatif dari rambatan ketidakpastian global tersebut terhadap perekonomian di negara-negara berkembang, termasuk Indonesia. Pertumbuhan ekonomi Indonesia tetap kuat di tengah ketidakpastian global, didukung oleh bauran kebijakan Bank Indonesia dan Pemerintah. Konsumsi swasta tumbuh baik seiring dengan terjaganya daya beli dan kuatnya keyakinan konsumen. Investasi meningkat, baik investasi bangunan maupun nonbangunan, sejalan dengan berlanjutnya proyek infrastruktur Pemerintah dan membaiknya investasi swasta. Permintaan domestik triwulan II 2024 yang meningkat antara lain tecermin pada kinerja positif sejumlah indikator konsumsi rumah tangga dan investasi, seperti Indeks Keyakinan Konsumen, Indeks Penjualan Riil, dan Purchasing Managers' Index (PMI) Manufaktur. Selain itu, ekspor barang meningkat didorong kenaikan ekspor pertambangan dan manufaktur ke negara mitra dagang utama, seperti Tiongkok dan India. Ekspor jasa juga membaik ditopang pemulihan perekonomian negara asal wisatawan mancanegara. Secara sektoral, pertumbuhan ekonomi periode triwulan berjalan antara lain didukung oleh pertumbuhan Lapangan Usaha (LU) Industri Pengolahan, LU Konstruksi, dan LU Perdagangan Besar dan Eceran. Dengan berbagai perkembangan tersebut, pertumbuhan ekonomi 2024 diprakirakan berada dalam kisaran 4,7-5,5%. Bank Indonesia akan terus memperkuat sinergi dengan Pemerintah melalui stimulus fiskal dan kebijakan makroprudensial, yang ditempuh secara konsisten dengan menerapkan prinsip kebijakan makroekonomi yang berhati–hati, guna mendukung pertumbuhan ekonomi yang berkelanjutan</t>
  </si>
  <si>
    <t>S005</t>
  </si>
  <si>
    <t>Inflation</t>
  </si>
  <si>
    <t>Inflasi IHK Mei 2008 secara bulanan berada jauh di atas pola historisnya dan meningkat menjadi 1,41% dari 0,57% di bulan sebelumnya. Sementara itu, secara tahunan, inflasi Mei 2008 tercatat sebesar 10,38% atau meningkat signifikan dibanding inflasi tahunan bulan sebelumnya (8,96%). Dengan perkembangan tersebut, inflasi year-to-date sampai dengan bulan Mei 2008 telah mencapai 5,47%. Kenaikan harga BBM bersubsidi di akhir bulan memberi dampak yang signifikan pada peningkatan laju inflasi Mei 2008. Aksi menaikkan harga berbagai komoditas menjelang kenaikan harga BBM berkontribusi terhadap tingginya inflasi Mei 2008. Mengingat bahwa dampak kenaikan BBM diperkirakan belum sepenuhnya terefleksi pada inflasi di bulan Mei 2008 maka tekanan inflasi akibat kenaikan harga BBM diperkirakan masih akan berlanjut kembali di bulan-bulan selanjutnya</t>
  </si>
  <si>
    <t>S006</t>
  </si>
  <si>
    <t>Exchange rate</t>
  </si>
  <si>
    <t>Nilai tukar rupiah bergerak relatif stabil dan dapat menahan tekanan inflasi yang lebih tinggi akibat meningkatnya harga komoditas internasional. Rata-rata nilai tukar rupiah pada triwulan I-2008 tercatat sebesar Rp9.258,00 per dolar AS. Relatif stabilnya nilai tukar ditopang oleh kinerja Neraca Pembayaran Indonesia yang tetap mencatat surplus seiring dengan tingginya harga komoditas internasional. Dengan perkembangan tersebut, pada akhir triwulan I-2008 posisi cadangan devisa Indonesia meningkat menjadi USD59 miliar atau setara dengan 5,3 bulan impor dan pembayaran utang luar negeri Pemerintah. "Tekanan inflasi ke depan diprakirakan masih cukup tinggi dan didominasi oleh tekanan dari sisi biaya terutama akibat tingginya harga komoditas internasional (imported inflation)", demikian Gubernur Bank Indonesia, Burhanuddin Abdullah. Menyikapi tekanan inflasi lebih lanjut, Bank Indonesia senantiasa mengelola ekspektasi inflasi masyarakat, diantaranya dengan menjaga agar tidak terjadi kelebihan likuiditas di pasar uang. Inflasi bulan Maret 2008 mencapai 0,95% (mtm), sehingga inflasi IHK dalam triwulan pertama tahun 2008 tercatat sebesar 3,41% (qtq) atau 8,17% secara tahunan</t>
  </si>
  <si>
    <t>S007</t>
  </si>
  <si>
    <t>Inflasi tetap rendah dan terjaga dalam kisaran sasaran 2,5±1%. Inflasi Indeks Harga Konsumen (IHK) tercatat rendah di seluruh komponen sehingga mencapai 2,12% (yoy) pada Agustus 2024. Inflasi inti tercatat sebesar 2,02% (yoy), sementara inflasi volatile food (VF) terus menurun menjadi 3,04% (yoy), dari level bulan sebelumnya 3,63% (yoy). Penurunan inflasi VF tercatat di sebagian besar wilayah Indonesia, didukung oleh peningkatan pasokan pangan seiring berlanjutnya musim panen, serta eratnya sinergi pengendalian inflasi TPIP/TPID melalui GNPIP. Ke depan, Bank Indonesia meyakini inflasi IHK tetap terkendali dalam sasarannya. Inflasi inti diprakirakan terjaga seiring ekspektasi inflasi yang terjangkar dalam sasaran, kapasitas perekonomian yang masih besar dan dapat merespons permintaan domestik, imported inflation yang terkendali sejalan dengan kebijakan stabilisasi nilai tukar Rupiah Bank Indonesia, serta dampak positif berkembangnya digitalisasi. Inflasi VF diprakirakan terkendali didukung oleh sinergi pengendalian inflasi Bank Indonesia dan Pemerintah Pusat dan Daerah. Ke depan, Bank Indonesia terus berkomitmen memperkuat efektivitas kebijakan moneter guna menjaga inflasi tahun 2024 dan 2025 terkendali dalam sasaran 2,5±1%, dengan tetap mendukung upaya penguatan pertumbuhan ekonomi</t>
  </si>
  <si>
    <t>S008</t>
  </si>
  <si>
    <t>Sementara itu, nilai tukar rupiah sedikit menguat dengan volatilitas yang terjaga, didukung perbaikan rating Indonesia dan ekonomi global. Secara point to point nilai tukar Rupiah menguat 2,08% yakni dari Rp9.263 menjadi Rp9.070 per dolar AS dan secara rata-rata menguat 2,55% dari Rp9.370 pada Juni menjadi Rp9.131 per dolar AS di Juli 2006. Penguatan rupiah tersebut disebabkan oleh membaiknya faktor risiko seperti tercermin pada perbaikan credit rating Indonesia oleh S&amp;P yang didasari oleh membaiknya kinerja kebijakan makro serta terjaganya kondisi fundamental. Kondisi tersebut didukung oleh sentimen eksternal yang positif berupa ekspektasi ditundanya kenaikan suku bunga the Fed pada 8 Agustus 2006. Sementara itu, daya tahan perekonomian domestik terhadap gejolak kenaikan harga minyak dunia semakin menguat seperti ditunjukkan oleh surplus neraca perdagangan migas dan ketahanan fiskal paska kenaikan BBM. Berbagai perkembangan positif tersebut dengan cepat telah direspon oleh pasar keuangan dalam bentuk aliran masuk modal jangka pendek, mencapai USD1,1 miliar selama bulan Juli, dan selanjutnya menambah cadangan devisa Indonesia menjadi USD41,8 miliar pada minggu pertama Agustus 2006. Penurunan BI Rate yang telah dilakukan pada bulan Mei dan Juli 2006 mulai berdampak positif pada suku bunga dana pihak ketiga dan suku bunga kredit meskipun dengan tingkat yang masih terbatas. Kondisi ini telah menyebabkan peningkatan penyaluran kredit yang cukup tinggi pada bulan Juni, yaitu hampir Rp10 triliun sehingga menjadi Rp757,3 triliun pada akhir Juni 2006. Namun demikian, apabila dibandingkan dengan posisi akhir Desember 2005, kenaikan kredit perbankan baru mencapai Rp27,2 triliun atau tumbuh sebesar 3,72%. Dengan perkiraan membaiknya aktivitas ekonomi, kredit diharapkan tumbuh lebih cepat di sisa akhir tahun 2006. Optimisme ini, selain didukung oleh menurunnya suku bunga, juga didukung oleh menurunnya risiko kredit yang tercermin dari penurunan NPL dari 8,8% menjadi 8,7%. Walaupun pembiayaan perbankan lebih rendah dari perkiraan, namun demikian, sumber pembiayaan non bank (saham, obligasi dan lembaga keuangan non bank) menunjukkan peningkatan yang menggembirakan. Selama semester I-2006 nilai emisi saham meningkat sebesar 7,4 triliun dan emisi obligasi meningkat Rp. 4,9 triliun. Dari eksternal, pembiayaan dari luar negeri kepada sektor swasta juga mengalami peningkatan sebesar USD705 juta pada bulan Juni 2006. Ke depan, kegiatan ekonomi diharapkan meningkat pada Semester II yang didukung oleh semakin membaiknya kondisi ekonomi makro. Sejauh ini peningkatan tersebut belum akan berdampak pada harga-harga sehingga inflasi diperkirakan masih sesuai dengan sasarannya di tahun 2006 dan 2007. Faktor risiko eksternal berupa berlanjutnya kenaikan harga minyak dan pengetatan kebijakan moneter global akan senantiasa menjadi perhatian Bank Indonesia. Dengan pertimbangan utama pada semakin meningkatnya stabilitas makro dan keyakinan pasar, serta berkurangnya risiko dari sisi eksternal, terutama lebih jelasnya arah suku bunga The Fed, Rapat Dewan Gubernur hari ini memutuskan untuk menurunkan BI rate sebesar 50 bps dari 12,25% menjadi 11,75%. Penurunan suku bunga ini diharapkan juga dapat mendorong kembali optimisme di sektor konsumen dan sektor usaha sehingga pada gilirannya dapat mendorong bergeraknya sektor riil tanpa menimbulkan tekanan inflasi yang berlebihan</t>
  </si>
  <si>
    <t>S009</t>
  </si>
  <si>
    <t>Nilai tukar Rupiah tetap terkendali dengan mekanisme pasar yang berjalan baik, meskipun mulai Juli 2020 melemah dipengaruhi ketidakpastian pasar keuangan global. Pada Juli 2020, Rupiah mencatat depresiasi 2,36% secara point to point atau 2,92% secara rerata dibandingkan dengan level Juni 2020, dipicu kekhawatiran terhadap terjadinya gelombang kedua pandemi COVID-19, prospek pemulihan ekonomi global, dan peningkatan ketidakpastian pasar keuangan global akibat kenaikan tensi geopolitik AS–Tiongkok. Kekhawatiran yang sama berlanjut sehingga Rupiah pada Agustus 2020 kembali mendapat tekanan yang per 18 Agustus 2020 mencatat depresiasi 1,65% secara point to point atau 1,04% secara rerata dibandingkan dengan level Juli 2020. Dibandingkan dengan level akhir 2019, Rupiah terdepresiasi 6,48% (ytd). Ke depan, Bank Indonesia memandang nilai tukar Rupiah masih berpotensi menguat seiring levelnya yang secara fundamental masih undervalued didukung inflasi yang rendah dan terkendali, defisit transaksi berjalan yang rendah, daya tarik aset keuangan domestik yang tinggi, dan premi risiko Indonesia yang menurun. Selain itu, prospek pemulihan ekonomi yang menguat pada semester II 2020 juga dapat mendukung prospek penguatan nilai tukar Rupiah. Untuk mendukung efektivitas kebijakan nilai tukar, Bank Indonesia terus menjaga ketersediaan likuiditas baik di pasar uang maupun pasar valas dan memastikan bekerjanya mekanisme pasar</t>
  </si>
  <si>
    <t>S010</t>
  </si>
  <si>
    <t>Decision</t>
  </si>
  <si>
    <t>Rapat Dewan Gubernur (RDG) Bank Indonesia pada hari ini, 6 Maret 2008, memutuskan untuk mempertahankan BI Rate pada tingkat 8%. Keputusan tersebut diambil setelah mempertimbangkan prospek dan tantangan pencapaian sasaran inflasi tahun 2008 dan 2009 yang ditetapkan oleh Pemerintah serta asesmen mendalam terhadap kondisi makroekonomi Indonesia</t>
  </si>
  <si>
    <t>S011</t>
  </si>
  <si>
    <t>Kinerja NPI yang menurun memberikan tekanan kepada nilai tukar Rupiah pada 2013 dan disertai volatilitas yang meningkat. Rupiah secara point-to-point melemah 20,8%(yoy) selama tahun 2013 ke level Rp12.170 per dolar AS atau secara rata-rata melemah 10,4% (yoy) ke level Rp10.445 per dolar AS. Tekanan terhadap rupiah terutama cukup kuat terjadi sejak akhir Mei 2013 hingga Agustus 2013, sejalan dengan meningkatnya aliran modal keluar dipicu sentimen terhadap rencana pengurangan stimulus moneter oleh The Fed, di tengah kenaikan inflasi domestik pasca kenaikan harga BBM bersubsidi dan persepsi terhadap prospek transaksi berjalan di dalam negeri. Pengaruh global yang cukup kuat tersebut tergambar pada pergerakan rupiah yang searah dengan pelemahan mata uang di negara kawasan. Bank Indonesia terus menjaga stabilitas nilai tukar rupiah sesuai dengan nilai fundamentalnya sehingga dapat mendukung penyesuaian ekonomi secara terkendali. Perbaikan kinerja NPI dengan defisit transaksi berjalan yang menurun diperkirakan akan mendukung pergerakan nilai tukar Rupiah yang lebih stabil dan cenderung menguat ke depan</t>
  </si>
  <si>
    <t>S012</t>
  </si>
  <si>
    <t>Monetary policy</t>
  </si>
  <si>
    <t>Keputusan tersebut sejalan dengan ruang pelonggaran kebijakan moneter yang semakin terbuka dengan semakin terjaganya stabilitas makroekonomi, khususnya penurunan tekanan inflasi di 2016, serta meredanya ketidakpastian di pasar keuangan global. Kebijakan penurunan BI Rate dan GWM Primer dalam Rupiah tersebut diharapkan dapat memperkuat upaya mendorong pertumbuhan ekonomi yang sedang berlangsung. Bank Indonesia juga akan terus memperkuat koordinasi dengan Pemerintah untuk memastikan pengendalian inflasi, penguatan stimulus pertumbuhan, dan reformasi struktural berjalan dengan baik, sehingga mampu menopang pertumbuhan ekonomi yang berkelanjutan ke depan dengan tetap menjaga stabilitas makroekonomi</t>
  </si>
  <si>
    <t>S013</t>
  </si>
  <si>
    <t>Bank Indonesia terus memperkuat kebijakan moneter untuk mendorong pertumbuhan ekonomi dengan tetap menjaga stabilitas perekonomian. Kebijakan moneter ditempuh melalui penurunan suku bunga BI-Rate, stabilisasi nilai tukar Rupiah, dan ekspansi likuiditas moneter. BI-Rate telah turun sebesar 150 bps, yaitu 25 bps pada September 2024 dan 125 bps selama tahun 2025 menjadi 4,75% hingga Oktober 2025, yang merupakan level terendah sejak tahun 2022. Kebijakan stabilisasi nilai tukar Rupiah terus diperkuat dengan intervensi di pasar off-shore melalui NDF dan intervensi di pasar domestik melalui pasar spot , DNDF, serta pembelian SBN di pasar sekunder. Sejalan dengan itu, Bank Indonesia menetapkan suku bunga instrumen moneter valas yang kompetitif untuk menjaga daya tarik penempatan dana di Indonesia yang dapat mendukung stabilitas nilai tukar Rupiah. Ekspansi likuiditas Rupiah juga ditempuh Bank Indonesia melalui penurunan posisi instrumen moneter SRBI dari Rp916,97 triliun pada awal tahun 2025 menjadi Rp699,30 triliun pada 17 November 2025. Bank Indonesia membeli SBN sebagai bentuk sinergi erat antara kebijakan moneter dan kebijakan fiskal, yang hingga 18 November 2025 mencapai Rp289,91 triliun, termasuk pembelian di pasar sekunder dan program debt switching dengan Pemerintah sebesar Rp212,60 triliun. Pembelian SBN di pasar sekunder dilakukan sesuai mekanisme pasar, terukur, transparan, dan konsisten dengan program moneter dalam menjaga stabilitas perekonomian sehingga dapat terus menjaga kredibilitas kebijakan moneter</t>
  </si>
  <si>
    <t>S014</t>
  </si>
  <si>
    <t>Inflasi tetap terkendali pada level yang rendah dan mendukung stabilitas perekonomian. Inflasi IHK Januari 2020 tercatat 0,39% (mtm) atau 2,68% (yoy), dipengaruhi inflasi inti yang terkendali dan kelompok administered prices yang mencatat deflasi, sedangkan inflasi volatile food sedikit meningkat. Inflasi inti yang terkendali tidak terlepas dari konsistensi Bank Indonesia dalam mengarahkan ekspektasi inflasi, termasuk dalam menjaga pergerakan nilai tukar sesuai fundamentalnya. Kelompok administered prices mencatat deflasi didorong kebijakan penurunan harga Bahan Bakar Khusus (BBK) dan normalisasi tarif berbagai angkutan pascalibur akhir tahun. Sementara itu, inflasi volatile food meningkat, antara lain disebabkan gangguan produksi dan distribusi beberapa komoditas volatile food dipicu dampak banjir di sebagian daerah. Ke depan, Bank Indonesia tetap konsisten menjaga stabilitas harga dan memperkuat koordinasi kebijakan dengan Pemerintah, baik di tingkat pusat maupun daerah, untuk mengendalikan inflasi tetap rendah dan stabil dalam kisaran sasaran 3,0% ±1% pada 2020 dan 2021</t>
  </si>
  <si>
    <t>S015</t>
  </si>
  <si>
    <t>Tren penguatan nilai tukar Rupiah yang sempat tertahan pada Januari 2011 kembali berlanjut pada Februari 2011. Di samping kembali masuknya aliran modal asing karena positifnya persepsi investor asing terhadap kuatnya fundamental ekonomi Indonesia, penguatan Rupiah juga sebagai respon positif terhadap kenaikan BI Rate dan kebijakan Bank Indonesia untuk memberikan ruang bagi penguatan Rupiah sebagai komitmen kuat Bank Indonesia untuk pengendalian inflasi. Pada bulan Februari 2011 nilai tukar Rupiah menguat sebesar 2,5% (ptp) menjadi Rp8.818 per dolar AS pada posisi 28 Februari 2011. Apresiasi Rupiah sejauh ini belum mempengaruhi daya saing Indonesia dari sisi nilai tukar karena pada periode yang sama negara-negara di kawasan juga mengalami penguatan nilai tukar dan bahkan dengan tingkat yang lebih besar</t>
  </si>
  <si>
    <t>S016</t>
  </si>
  <si>
    <t>Credit</t>
  </si>
  <si>
    <t>Pertumbuhan kredit perbankan perlu terus ditingkatkan untuk mendukung pertumbuhan ekonomi. Kredit perbankan pada September 2025 masih tercatat 7,70% (yoy), meskipun sedikit meningkat dari 7,56% (yoy) pada Agustus 2025. Permintaan kredit belum kuat dipengaruhi oleh sikap pelaku usaha yang masih wait and see , optimalisasi pembiayaan internal oleh korporasi, dan suku bunga kredit yang masih relatif tinggi. Perkembangan ini tecermin dari fasilitas pinjaman yang belum dicairkan (undisbursed loan) pada September 2025 yang masih cukup besar, yaitu mencapai Rp2.374,8 triliun atau 22,54% dari plafon kredit yang tersedia, terutama pada segmen korporasi dengan kontribusi utama dari sektor Perdagangan, Industri, dan Pertambangan, serta dengan jenis kredit modal kerja. Dari sisi penawaran, kapasitas pembiayaan bank memadai ditopang oleh rasio Alat Likuid terhadap Dana Pihak Ketiga (AL/DPK) sebesar 29,29% dan DPK yang tumbuh sebesar 11,18% (yoy) pada September 2025 seiring ekspansi keuangan Pemerintah termasuk penempatan dana Pemerintah pada beberapa bank besar serta kebijakan pelonggaran likuiditas dan insentif kebijakan makroprudensial Bank Indonesia. Minat penyaluran kredit perbankan pada umumnya cukup baik sebagaimana tecermin pada persyaratan pemberian kredit ( lending requirement ) yang cukup longgar, kecuali pada segmen kredit konsumsi dan UMKM seiring dengan sikap kehati-hatian bank di tengah risiko kredit pada kedua segmen tersebut. Pertumbuhan kredit modal kerja dan kredit konsumsi melambat menjadi masing-masing sebesar 3,37% (yoy) dan 7,42% (yoy), sedangkan pertumbuhan kredit investasi meningkat menjadi 15,18% (yoy). Kredit UMKM dan pembiayaan syariah tumbuh melambat menjadi masing-masing sebesar 0,23% (yoy) dan 7,55% (yoy). Bank Indonesia memprakirakan pertumbuhan kredit 2025 berada pada batas bawah kisaran 8-11% dan akan meningkat pada 2026. Ke depan, Bank Indonesia akan terus memperkuat koordinasi dengan Pemerintah dan KSSK untuk meningkatkan pertumbuhan kredit/pembiayaan perbankan serta memperbaiki struktur suku bunga</t>
  </si>
  <si>
    <t>S017</t>
  </si>
  <si>
    <t>Bank Indonesia akan terus memperkuat langkah-langkah yang diperlukan termasuk penguatan koordinasi dengan Pemerintah baik di tingkat pusat maupun daerah dalam rangka mengatasi tekanan inflasi. Dalam kaitan ini, Dewan Gubernur memandang bahwa langkah-langkah untuk terus memperkuat efektivitas kebijakan moneter dalam mengelola ekses likuiditas dinilai sangat penting. Berbagai upaya yang ditempuh Bank Indonesia tersebut dalam rangka mendukung tercapainya sasaran inflasi tahun 2010 dan 2011 sebesar 5%±1%</t>
  </si>
  <si>
    <t>S018</t>
  </si>
  <si>
    <t>Banking</t>
  </si>
  <si>
    <t>Ketahanan perbankan tetap kuat sehingga diprakirakan dapat memitigasi risiko dampak dari perang Timur Tengah. Perkembangan ini ditandai dengan likuiditas perbankan yang memadai, kapasitas permodalan yang terjaga pada level tinggi, dan risiko kredit yang tetap rendah. Rasio kecukupan modal ( Capital Adequacy Ratio /CAR) perbankan pada Januari 2026 tercatat tinggi sebesar 25,87%, yang tergolong kuat dalam menyerap risiko dan mendukung pertumbuhan kredit. Rasio kredit bermasalah ( Non-Performing Loan /NPL) perbankan secara agregat tetap rendah sebesar 2,14% (bruto) dan 0,82% (neto) pada Januari 2026. Hasil stress test Bank Indonesia menunjukkan ketahanan perbankan tetap kuat dalam menghadapi berbagai risiko, termasuk dari dampak rambatan gejolak global dari perang Timur Tengah yang ditopang oleh kemampuan bayar dan profitabilitas korporasi yang tetap terjaga. Bank Indonesia terus memperkuat kebijakan makroprudensial dan sinergi kebijakan bersama KSSK dalam memitigasi dampak rambatan ketidakpastian global yang berpotensi mengganggu stabilitas sistem keuangan</t>
  </si>
  <si>
    <t>S019</t>
  </si>
  <si>
    <t>Sampai dengan akhir tahun 2007, inflasi diperkirakan masih akan berada pada kisaran sasarannya sebesar 6%±1%. Sedangkan untuk tahun 2008, Bank Indonesia melihat adanya potensi peningkatan beberapa faktor risiko yang dapat memberikan tekanan pada inflasi ke depan. Oleh karena itu, diperlukan upaya-upaya yang lebih intensif dari semua pihak didalam mengantisipasi peningkatan risiko kenaikan harga-harga, sehingga target inflasi tahun 2008 sebesar 5%±1% dapat tercapai. Faktor-faktor risiko yang perlu diwaspadai dan dicermati secara seksama tersebut antara lain, peningkatan harga minyak dunia yang terus berlanjut sehingga berpotensi mendorong kenaikan harga-harga barang, termasuk harga CPO, karet dan komoditas export nonmigas pertanian lain, belum meredanya gejolak pasar keuangan global yang diakibatkan krisis subprime mortgage, serta terus meningkatnya ekspektasi masyarakat akan tingginya inflasi ke depan. Berbagai hal tersebut menjadi pertimbangan Bank Indonesia dalam memutuskan BI Rate pada bulan November 2007</t>
  </si>
  <si>
    <t>S020</t>
  </si>
  <si>
    <t>Bank Indonesia menetapkan kebijakan Rasio Pendanaan Luar Negeri Bank (RPLN) untuk memperkuat. pengelolaan pendanaan luar negeri bank dalam mendukung kredit/pembiayaan bagi perekonomian nasional dengan tetap memperhatikan prinsip kehati-hatian . RPLN merupakan inovasi instrumen makroprudensial kontrasiklikal Bank Indonesia untuk memperkuat pengelolaan sumber pendanaan luar negeri jangka pendek bank. Kebijakan RPLN mengatur batas maksimum kewajiban luar negeri jangka pendek terhadap modal bank yang dapat disesuaikan dengan besaran parameter kontrasiklikal Bank Indonesia berdasarkan asesmen forward looking atas siklus keuangan, risiko eksternal, dan risiko SSK. Selain pengaturan mengenai aspek kontrasiklikal, penguatan RPLN juga dilakukan melalui pengaturan baru mengenai cakupan RPLN. Implementasi RPLN oleh perbankan, perlu tetap memperhatikan prinsip kehati-hatian, yang antara lain mencakup manajemen risiko kredit, risiko pasar dan permodalan, sesuai dengan aturan yang berlaku. Bank Indonesia akan terus memperkuat efektivitas implementasi kebijakan makroprudensial akomodatif dan mempererat sinergi dengan Pemerintah, KSSK, perbankan, serta pelaku usaha untuk mendukung kredit/pembiayaan bagi pertumbuhan ekonomi secara berkelanjutan</t>
  </si>
  <si>
    <t>S021</t>
  </si>
  <si>
    <t>Balance of payments</t>
  </si>
  <si>
    <t>Neraca perdagangan Indonesia pada Maret 2018 mencatat surplus didukung perbaikan ekspor nonmigas. Pada Maret 2018, neraca perdagangan Indonesia mencatat surplus 1,09 miliar dolar AS, setelah pada Februari 2018 mengalami defisit 0,05 miliar dolar AS. Surplus tersebut didorong oleh peningkatan surplus neraca perdagangan nonmigas yang melampaui peningkatan defisit neraca perdagangan migas. Peningkatan surplus neraca perdagangan nonmigas ditopang kinerja ekspor yang tumbuh 8,2% (yoy), terutama berasal dari ekspor komoditi tambang seperti batubara, maupun ekspor produk manufaktur seperti barang dari logam tidak mulia, tekstil dan produk tekstil, makanan olahan, alas kaki, serta mesin dan mekanik. Sementara itu, impor nonmigas tumbuh 11,1% (yoy) terutama didorong oleh pertumbuhan impor barang modal dan bahan baku. Secara kumulatif Januari-Maret 2018, neraca perdagangan Indonesia mencatat surplus 0,28 miliar dolar AS. Sementara itu, investasi portofolio asing dalam bentuk saham dan SBN yang sempat mencatat aliran keluar selama Triwulan I 2018, pada dua minggu pertama bulan April telah kembali masuk. Dengan perkembangan tersebut, posisi cadangan devisa Indonesia akhir Maret 2018 tercatat sebesar 126,00 miliar dolar AS, setara dengan pembiayaan 7,9 bulan impor atau 7,7 bulan impor dan pembayaran utang luar negeri pemerintah. Angka tersebut berada di atas standar kecukupan internasional sekitar 3 bulan impor. Ke depan, sejalan dengan membaiknya pertumbuhan ekonomi domestik, defisit transaksi berjalan pada 2018 diperkirakan dalam kisaran 2,0-2,5% dari PDB, atau masih tetap terkendali dalam batas yang aman yaitu tidak lebih dari 3,0% dari PDB</t>
  </si>
  <si>
    <t>S022</t>
  </si>
  <si>
    <t>Tekanan inflasi terkendali. Inflasi IHK pada bulan Agustus 2011 tercatat sebesar 0,93% (mtm) atau 4,79% (yoy). Melihat perkembangan ke depan, inflasi IHK hingga akhir tahun 2011 diperkirakan akan lebih rendah dari perkiraan sebelumnya. Tekanan inflasi pada bulan Agustus berasal dari inflasi inti yang terkait dengan harga komoditas global, terutama emas, yang mengalami peningkatan, serta harga komoditas yang meningkat sejalan dengan faktor musiman, seperti biaya pendidikan dan angkutan udara. Sementara itu, inflasi volatile foods relatif terkendali di tengah meningkatnya permintaan seiring dengan hari raya Idul Fitri. Hal ini didukung oleh pasokan bahan makanan yang terjaga dengan baik. Di sisi lain, inflasi kelompok administered prices tercatat minimal karena tidak adanya kebijakan harga Pemerintah untuk komoditas strategis. Proyeksi inflasi kelompok volatile foods dan administered prices hingga akhir tahun 2011 cenderung lebih rendah, masing-masing karena perbaikan pasokan yang ditunjang oleh impor dan kecenderungan harga minyak dunia yang menurun. Berbagai kecenderungan pada kelompok volatile foods dan administered prices tersebut diperkirakan dapat meredam tekanan inflasi IHK secara keseluruhan tahun 2011</t>
  </si>
  <si>
    <t>S023</t>
  </si>
  <si>
    <t>Transmisi pelonggaran kebijakan moneter terus berlanjut didukung kecukupan likuiditas perbankan yang memadai serta pasar uang yang stabil dan efisien. Rerata harian volume PUAB pada Oktober 2019 tetap tinggi sebesar Rp18,12 triliun. Likuiditas perbankan juga tetap baik, tercermin pada rasio Alat Likuid terhadap Dana Pihak Ketiga (AL/DPK) yang besar yakni 19,43% pada September 2019, tidak jauh berbeda dari kondisi Agustus 2019 sebesar 19,47%. Perkembangan ini memengaruhi penurunan suku bunga PUAB pada semua tenor, termasuk suku bunga PUAB O/N sebagai sasaran operasional kebijakan moneter, yang bergerak di kisaran level suku bunga kebijakan sebesar 5,04% pada Oktober 2019. Rerata tertimbang suku bunga deposito juga menurun 12 bps dibandingkan dengan level September 2019 sehingga tercatat 6,45% pada Oktober 2019. Suku bunga kredit juga mulai menurun, terutama pada kredit investasi dan kredit modal kerja yang masing-masing tercatat sebesar 10,04% dan 10,26%. Sementara itu, pertumbuhan uang beredar dalam arti sempit (M1) dan uang beredar dalam arti luas (M2) pada September 2019 bergerak sejalan dengan pola pertumbuhan ekonomi yakni masing-masing 6,88% (yoy) dan 7,08% (yoy). Ke depan, Bank Indonesia akan terus memastikan kecukupan likuiditas dan meningkatkan efisiensi di pasar uang, serta memperkuat transmisi bauran kebijakan yang akomodatif</t>
  </si>
  <si>
    <t>S024</t>
  </si>
  <si>
    <t>Inflasi tetap rendah sejalan permintaan yang belum kuat dan pasokan yang memadai. Indeks Harga Konsumen (IHK) pada Agustus 2020 tercatat deflasi 0,05% (mtm) sehingga inflasi IHK sampai Agustus 2020 tercatat sebesar 0,93% (ytd). Secara tahunan, inflasi IHK tercatat rendah yakni sebesar 1,32% (yoy), menurun dibandingkan dengan inflasi bulan sebelumnya sebesar 1,54% (yoy). Inflasi inti tetap rendah dipengaruhi permintaan domestik yang belum kuat, konsistensi kebijakan Bank Indonesia mengarahkan ekspektasi inflasi, dan stabilitas nilai tukar yang terjaga. Inflasi kelompok administered prices juga rendah terutama didorong berlanjutnya penurunan tarif angkutan udara. Sementara itu, deflasi pada kelompok volatile food dipengaruhi permintaan domestik yang belum kuat, pasokan yang memadai sejalan panen di beberapa sentra produksi, dan distribusi yang terjaga. Bank Indonesia memprakirakan inflasi 2020 dan 2021 akan terkendali dalam sasarannya 3,0% ± 1%. Bank Indonesia konsisten menjaga stabilitas harga dan memperkuat koordinasi kebijakan dengan Pemerintah, baik di tingkat pusat maupun daerah, guna mengendalikan inflasi tetap dalam kisaran targetnya</t>
  </si>
  <si>
    <t>S025</t>
  </si>
  <si>
    <t>Ekspor yang membaik mendorong menurunnya defisit transaksi berjalan secara signifikan dan menopang perbaikan kinerja Neraca Pembayaran Indonesia (NPI) triwulan IV 2013. Defisit transaksi berjalan triwulan IV 2013 menurun cukup tajam yang diperkirakan menjadi 1,98% dari PDB, jauh lebih rendah dari defisit transaksi berjalan pada triwulan sebelumnya sebesar 3,85%. Kenaikan ekspor didukung oleh kenaikan ekspor manufaktur sejalan meningkatnya permintaan dari AS dan Jepang, disamping peningkatan ekspor sumber daya alam terkait dengan antisipasi pemberlakuan UU Minerba. Penurunan defisit transaksi berjalan juga dipengaruhi oleh penurunan impor sejalan moderasi permintaan domestik. Perbaikan NPI triwulan IV 2013 juga ditopang peningkatan surplus transaksi modal finansial bersumber dari penarikan pinjaman luar negeri korporasi, penarikan simpanan bank domestik di luar negeri, dan arus masuk Penanaman Modal Asing Langsung yang tetap stabil. Bank Indonesia memperkirakan penguatan NPI berlanjut pada 2014 ditopang prospek defisit transaksi berjalan yang menurun serta surplus transaksi modal dan finansial yang meningkat. Pada Januari 2014, cadangan devisa Indonesia meningkat menjadi 100,7 miliar dolar AS, setara 5,7 bulan impor atau 5,6 bulan impor dan pembayaran utang luar negeri Pemerintah, serta berada di atas standar kecukupan internasional sekitar 3 bulan impor</t>
  </si>
  <si>
    <t>S026</t>
  </si>
  <si>
    <t>Pertumbuhan ekonomi domestik juga membaik sejalan meningkatnya realisasi stimulus fiskal dan mobilitas masyarakat, serta membaiknya permintaan global. Ekonomi Indonesia pada triwulan III 2020 membaik yang tercermin pada pertumbuhan sebesar 5,05% (qtq) dari kontraksi 4,19% (qtq), atau berkurangnya kontraksi pertumbuhan menjadi 3,49% (yoy) dari 5,32% (yoy) pada triwulan sebelumnya. Meningkatnya realisasi stimulus dan membaiknya mobilitas masyarakat menopang perbaikan permintaan domestik secara bertahap baik konsumsi maupun investasi. Sementara itu, kinerja ekspor juga membaik , didorong permintaan global terutama dari AS dan Tiongkok. Perbaikan ekonomi domestik yang terus berlanjut tercermin pada perkembangan positif sejumlah indikator pada Oktober 2020, seperti mobilitas masyarakat, penjualan eceran nonmakanan dan online , PMI Manufaktur, serta pendapatan masyarakat. Pertumbuhan ekonomi diprakirakan meningkat pada 2021 didorong oleh membaiknya perekonomian global serta akselerasi realisasi anggaran Pemerintah Pusat dan Pemerintah Daerah, kemajuan dalam program restrukturisasi kredit, serta berlanjutnya stimulus moneter dan makroprudensial Bank Indonesia. Bank Indonesia melalui bauran kebijakannya akan terus memperkuat sinergi dengan Pemerintah dan otoritas terkait agar berbagai kebijakan yang ditempuh semakin efektif mendorong pemulihan ekonomi</t>
  </si>
  <si>
    <t>S027</t>
  </si>
  <si>
    <t>Inflasi tetap rendah dan stabil berada dalam sasaran inflasi 2018 sebesar 3,5±1%. Inflasi IHK pada November 2018 tercatat 0,27% (mtm) atau 3,23% (yoy), tidak banyak berbeda dibandingkan dengan inflasi bulan Oktober 2018 sebesar 0,28% (mtm) atau 3,16% (yoy). Inflasi yang terkendali dipengaruhi inflasi inti sebesar 3,03% (yoy), relatif stabil dibandingkan dengan inflasi bulan sebelumnya ditopang konsistensi kebijakan Bank Indonesia dalam mengarahkan ekspektasi inflasi, termasuk dalam menjaga pergerakan nilai tukar sesuai fundamentalnya. Inflasi volatile food juga lebih rendah dari pola historis didukung pasokan yang memadai dan harga pangan dunia yang dalam tren menurun. Ke depan, Bank Indonesia terus konsisten menjaga stabilitas harga dan memperkuat koordinasi kebijakan dengan Pemerintah, baik di tingkat pusat maupun daerah, guna memastikan inflasi tetap rendah dan stabil, yang pada 2019 diprakirakan berada dalam sasaran inflasi sebesar 3,5±1%</t>
  </si>
  <si>
    <t>S028</t>
  </si>
  <si>
    <t>Rapat Dewan Gubernur (RDG) Bank Indonesia pada 21-22 Juli 2026 memutuskan untuk mempertahankan BI-Rate sebesar 5. ,75%, suku bunga Deposit Facility sebesar 4,75% dan suku bunga Lending Facility sebesar 6,50%. Bank Indonesia memperluas kebijakan insentif dan sejumlah kebijakan lain untuk meningkatkan aliran masuk investasi portofolio asing dan memperkuat stabilitas nilai tukar Rupiah, mempercepat pendalaman pasar uang dan pasar valas (PUVA), serta meningkatkan likuiditas dan mengurangi segmentasi likuiditas di pasar uang dan perbankan. Keputusan BI-Rate dan kebijakan lain dimaksud merupakan bagian terintegrasi dari bauran kebijakan Bank Indonesia yang tetap konsisten untuk semakin memperkuat stabilitas nilai tukar Rupiah di tengah tetap tingginya ketidakpastian global, serta untuk mempertahankan inflasi pada tahun 2026 dan 2027 berada dalam kisaran sasaran 2,5±1% yang ditetapkan Pemerintah ( “pro-stability" ). Sementara itu, kebijakan makroprudensial dan kebijakan sistem pembayaran tetap diarahkan untuk turut mendorong pertumbuhan (“ pro-growth "). Kebijakan makroprudensial longgar terus diperkuat untuk mendorong pertumbuhan ekonomi melalui peningkatan kredit/pembiayaan ke sektor riil dengan tetap menjaga stabilitas sistem keuangan. Kebijakan sistem pembayaran tetap diarahkan untuk turut mendukung kegiatan ekonomi melalui perluasan akseptasi pembayaran digital, penguatan struktur industri sistem pembayaran, serta peningkatan keandalan dan ketahanan infrastruktur sistem pembayaran Arah bauran kebijakan moneter, makroprudensial, dan sistem pembayaran dalam memperkuat stabilitas dan turut mendorong pertumbuhan ekonomi berkelanjutan juga didukung dengan langkah-langkah kebijakan sebagai berikut: Selain itu, Bank Indonesia juga terus memperkuat koordinasi kebijakan dengan Pemerintah, termasuk sinergi yang erat antara kebijakan moneter dengan kebijakan fiskal untuk memitigasi dampak ketidakpastian global terhadap perekonomian domestik sehingga stabilitas dan pertumbuhan ekonomi tetap terjaga baik. Sinergi kebijakan dengan Komite Stabilitas Sistem Keuangan (KSSK) juga dipererat untuk turut menjaga stabilitas sistem keuangan dan mendorong pembiayaan bagi program Asta Cita Pemerintah. Sinergi bersama Pemerintah dan pemangku kepentingan lainnya dalam mendorong kredit/pembiayaan perbankan dilakukan melalui Program Percepatan Intermediasi Indonesia (PINISI)</t>
  </si>
  <si>
    <t>S029</t>
  </si>
  <si>
    <t>Perekonomian domestik secara perlahan juga membaik, meskipun masih terbatas sejalan mobilitas masyarakat yang melandai pada Agustus 2020. Kinerja ekspor membaik sejalan kenaikan permintaan global, khususnya dari AS dan Tiongkok untuk beberapa komoditas seperti besi dan baja, pulp dan waste paper, serta CPO. Sementara itu, konsumsi rumah tangga membaik secara terbatas seiring berlanjutnya stimulus fiskal seperti penyaluran bansos dan pemberian gaji ke-13 kepada Aparatur Sipil Negara (ASN). Beberapa indikator dini menunjukkan perbaikan seperti penjualan ritel, indeks kepercayaan konsumen, dan PMI Manufaktur. Secara spasial, perbaikan ekonomi tercatat di beberapa daerah luar Jawa yang memiliki ekspor komoditas. Ke depan, prospek berlanjutnya pemulihan ekonomi domestik banyak dipengaruhi perkembangan mobilitas masyarakat sejalan dengan penerapan protokol COVID-19 di sejumlah daerah, kecepatan realisasi anggaran Pemerintah Pusat dan Pemerintah Daerah, kemajuan restrukturisasi dan penjaminan kredit, serta akselerasi ekonomi dan keuangan digital khususnya untuk pemberdayaan UMKM. Bank Indonesia melalui bauran kebijakannya akan terus memperkuat sinergi dengan Pemerintah dan otoritas terkait agar berbagai kebijakan yang ditempuh semakin efektif mendorong pemulihan ekonomi</t>
  </si>
  <si>
    <t>S030</t>
  </si>
  <si>
    <t>Pertumbuhan ekonomi domestik pada triwulan II 2016 diperkirakan akan membaik walaupun masih terbatas. Konsumsi rumah tangga membaik, tercermin dari penjualan eceran yang tumbuh positif menjelang Hari Raya Idul Fitri dan penjualan mobil yang meningkat. Sementara itu, pertumbuhan investasi, khususnya nonbangunan, belum menunjukkan perbaikan yang signifikan di tengah tingginya belanja modal dan barang pemerintah. Dari sisi eksternal, ekspor diperkirakan masih lemah, meskipun beberapa komoditas mulai mengalami peningkatan. Pertumbuhan ekonomi pada triwulan-triwulan mendatang diperkirakan akan terus membaik. Hal ini didukung oleh pelonggaran moneter dan makroprudensial, serta penguatan stimulus fiskal yang sejalan dengan implementasi UU Pengampunan Pajak, serta tetap tingginya belanja pemerintah. Dengan perkembangan tersebut, pertumbuhan ekonomi untuk keseluruhan 2016 diperkirakan berada pada kisaran 5,0-5,4% (yoy)</t>
  </si>
  <si>
    <t>S031</t>
  </si>
  <si>
    <t>Nilai tukar Rupiah menguat didukung langkah-langkah stabilisasi Bank Indonesia dan berlanjutnya aliran masuk modal asing ke pasar keuangan domestik. Nilai tukar Rupiah pada 20 Januari 2021 menguat 0,77% secara rerata dan 0,14% secara point to point dibandingkan dengan level Desember 2020. Penguatan nilai tukar Rupiah didorong oleh peningkatan aliran masuk modal asing ke pasar keuangan domestik seiring dengan penurunan ketidakpastian pasar keuangan global dan persepsi positif investor terhadap prospek perbaikan perekonomian domestik. Ke depan, Bank Indonesia memandang penguatan nilai tukar Rupiah berpotensi berlanjut seiring levelnya yang secara fundamental masih undervalued. Hal ini didukung oleh defisit transaksi berjalan yang rendah, inflasi yang terjaga, daya tarik aset keuangan domestik yang tinggi, dan premi risiko Indonesia yang menurun, serta likuiditas global yang besar. Ke depan, Bank Indonesia terus memperkuat kebijakan stabilisasi nilai tukar Rupiah sesuai dengan fundamentalnya dan bekerjanya mekanisme pasar, melalui efektivitas operasi moneter dan ketersediaan likuiditas di pasar</t>
  </si>
  <si>
    <t>S032</t>
  </si>
  <si>
    <t>Stabilitas sistem keuangan tetap terjaga, ditopang oleh ketahanan sistem perbankan dan kinerja pasar keuangan yang cukup kuat. Pada Januari 2016, rasio kecukupan modal (Capital Adequacy Ratio/CAR) tercatat sebesar 21,5%, sementara rasio kredit bermasalah (Non Performing Loan/NPL) berada di kisaran 2,7% (gross) atau 1,4% (net). Meskipun pelemahan ekonomi global dan domestik mengakibatkan kinerja korporasi di beberapa subsektor manufaktur dan sektor infrastruktur menurun, dampak penurunan kinerja korporasi tersebut pada ketahanan sistem perbankan relatif terbatas. Dari sisi fungsi intermediasi, pertumbuhan kredit tercatat sebesar 9,6% (yoy), sedikit menurun dari pertumbuhan bulan sebelumnya sebesar 10,4% (yoy). Sementara itu, pertumbuhan Dana Pihak Ketiga (DPK) pada Januari 2016 tercatat sebesar 6,8% (yoy), lebih rendah dari pertumbuhan bulan sebelumnya sebesar 7,3% (yoy). Pelonggaran kebijakan moneter, baik melalui penurunan BI rate dan GWM, yang mulai berdampak pada penurunan suku bunga perbankan, diperkirakan akan memperkuat likuiditas dan mendorong peningkatan pertumbuhan kredit perbankan. Selain itu, untuk mendukung transmisi penurunan suku bunga kebijakan, struktur suku bunga operasi moneter (term structure) juga disesuaikan Jakarta, 17 Maret 2016 Departemen Komunikasi Tirta Segara Direktur Eksekutif</t>
  </si>
  <si>
    <t>S033</t>
  </si>
  <si>
    <t>Perbaikan kinerja sektor eksternal tersebut juga tercermin pada surplus transaksi berjalan pada Neraca Pembayaran Indonesia (NPI) yang cukup besar. Arus modal luar negeri yang masuk juga relatif besar sejalan dengan cukup kuatnya keyakinan investor internasional terhadap kondisi fundamental perekonomian domestik yang membaik. Dengan perkembangan ini, cadangan devisa Indonesia sampai dengan akhir Februari 2010 mencapai USD69,7miliar atau setara dengan 5,7 bulan impor dan pembayaran utang luar negeri Pemerintah</t>
  </si>
  <si>
    <t>S034</t>
  </si>
  <si>
    <t>Neraca perdagangan Indonesia pada Mei 2018 mencatat defisit yang menurun didukung perbaikan neraca perdagangan nonmigas . Defisit neraca perdagangan Mei 2018 tercatat 1,52 miliar dolar AS, menurun dibandingkan dengan defisit neraca perdagangan bulan sebelumnya sebesar 1,63 miliar dolar AS. Perbaikan tersebut didorong oleh penurunan defisit neraca perdagangan nonmigas yang lebih besar dibandingkan dengan peningkatan defisit neraca perdagangan migas. Neraca perdagangan nonmigas mencatat penurunan defisit didukung oleh naiknya ekspor nonmigas, terutama didorong kenaikan ekspor mesin dan peralatan listrik, bijih, kerak, dan abu logam, besi dan baja, barang-barang rajutan, dan timah. Sementara itu, impor nonmigas juga mengalami peningkatan seiring dengan kegiatan produksi dan investasi yang menguat. Secara kumulatif Januari-Mei 2018, neraca perdagangan nonmigas masih mencatat surplus yakni 2,20 miliar dolar AS. Posisi cadangan devisa pada Mei 2018 tercatat 122,9 miliar dolar AS, setara dengan pembiayaan 7,4 bulan impor atau 7,2 bulan impor dan pembayaran utang luar negeri pemerintah, serta berada di atas standar kecukupan internasional sekitar 3 bulan impor. Ke depan, defisit transaksi berjalan pada 2018 dipr a kirakan tetap berada dalam batas yang aman yaitu tidak melebihi 3,0% dari PDB</t>
  </si>
  <si>
    <t>S035</t>
  </si>
  <si>
    <t>Pengelolaan stabilitas makroekonomi nasional di 2014 perlu dilakukan untuk menghadapi tantangan ketidakpastian normalisasi kebijakan moneter Amerika Serikat (AS) serta pemulihan ekonomi global yang tidak sekuat perkiraan sebelumnya dan tidak merata. Di satu sisi pemulihan ekonomi AS semakin solid, sementara pemulihan Eropa masih melambat. Di sisi lain, ekonomi Tiongkok juga dalam tren melambat, sementara ekonomi Jepang masih dalam resesi. Pemulihan ekonomi global yang melambat tersebut, yang disertai dengan penurunan harga minyak dunia seiring dengan melimpahnya pasokan minyak khususnya dari AS, pada gilirannya mendorong penurunan harga komoditas dunia secara signifikan. Meningkatnya ketidakpastian normalisasi kebijakan moneter the Fed, terutama di paruh kedua 2014, yang disertai dengan penguatan dolar AS terhadap semua mata uang dunia juga semakin meningkatkan risiko pembalikan modal asing dari emerging markets, termasuk Indonesia. Ke depan, pemulihan ekonomi negara maju, khususnya AS, diperkirakan akan terus berlanjut di 2015 sehingga dapat menopang pertumbuhan ekonomi Indonesia dari jalur perdagangan. Namun, sejumlah risiko eksternal masih akan menjadi tantangan bagi stabilitas makroekonomi nasional di 2015, khususnya tingginya volatilitas pasar keuangan global sejalan dengan kemungkinan kenaikan suku bunga Fed Fund Rate di AS dan anjloknya harga komoditas dunia</t>
  </si>
  <si>
    <t>S036</t>
  </si>
  <si>
    <t>Ekspansi perekonomian masih berlanjut di triwulan III/2007 dan berpotensi tumbuh mencapai 6,3%. Perkembangan tersebut terutama didukung oleh peningkatan konsumsi pemerintah dan kinerja ekspor yang cukup baik seiring dengan kondisi permintaan dan harga komoditi di pasar global. Sementara itu, sejak September 2007 arus modal finansial mulai kembali masuk ke Indonesia. Meski pada triwulan III-2007 nilai tukar rupiah secara rata-rata melemah menjadi Rp 9.250 atau terdepresiasi 3,2% dibanding triwulan II-2007 sebesar Rp 8.968, namun dengan mulai meredanya gejolak di pasar keuangan global, cadangan devisa yang memadai, dan kebijakan moneter yang konsisten, telah mulai mengembalikan nilai tukar rupiah pada keseimbangan awalnya</t>
  </si>
  <si>
    <t>S037</t>
  </si>
  <si>
    <t>Di sisi perbankan, berbagai indikator menunjukkan bahwa kinerja perbankan nasional secara umum semakin membaik. Sampai dengan akhir Mei 2006, perbankan secara umum masih dapat mengatasi risiko usaha yang dihadapinya dengan baik, tercermin dari rasio kredit bermasalah (NPL) cenderung sudah mulai turun dan kredit yang disalurkan semakin meningkat. Setelah mengalami peningkatan sekitar Rp7 triliun pada Maret 2006, jumlah kredit perbankan pada April 2006 meningkat sebesar Rp10,7 triliun. Seiring dengan peningkatan kredit tersebut, rasio NPL mengalami penurunan dari 9,4% ( gross ) pada bulan lalu menjadi 9,2% pada akhir April 2006</t>
  </si>
  <si>
    <t>S038</t>
  </si>
  <si>
    <t>Neraca Pembayaran Indonesia (NPI) triwulan IV 2019 diprakirakan terus membaik sehingga menopang ketahanan sektor eksternal. NPI yang membaik ditopang naiknya aliran masuk modal asing dan terkendalinya defisit transaksi berjalan. Aliran masuk investasi portofolio asing ke pasar keuangan domestik pada triwulan IV 2019 tercatat neto 6,36 miliar dolar AS, lebih tinggi dari perkembangan triwulan III 2019 sebesar neto 4,88 miliar dolar AS. Sementara itu, defisit transaksi berjalan yang terkendali didukung oleh membaiknya neraca perdagangan, yang pada Desember 2019 tercatat defisit 0,03 miliar dolar AS, menurun tajam dibandingkan dengan defisit bulan sebelumnya sebesar 1,39 miliar dolar AS. Dengan perkembangan tersebut, defisit transaksi berjalan 2019 diprakirakan sekitar 2,7% PDB dan pada 2020 tetap terkendali dalam kisaran 2,5-3,0% PDB. Posisi cadangan devisa pada akhir Desember 2019 meningkat menjadi 129,2 miliar dolar AS, atau setara dengan pembiayaan 7,6 bulan impor atau 7,3 bulan impor dan pembayaran utang luar negeri Pemerintah, serta berada di atas standar kecukupan internasional sekitar 3 bulan impor. Ke depan, Bank Indonesia akan terus memperkuat sinergi kebijakan dengan Pemerintah dan otoritas terkait untuk meningkatkan ketahanan eksternal, termasuk berupaya mendorong peningkatan PMA</t>
  </si>
  <si>
    <t>S039</t>
  </si>
  <si>
    <t>Pemulihan ekonomi global masih terbatas, sementara tekanan di pasar keuangan global sudah mulai mereda. Terbatasnya pemulihan ekonomi global tersebut terutama bersumber dari masih terbatasnya pertumbuhan ekonomi emerging markets, khususnya Tiongkok yang diperkirakan terus melambat. Hal itu, antara lain, tercermin dari indikator manufaktur Tiongkok yang menurun disertai dengan ekspor yang masih lemah. Di sisi lain, pertumbuhan ekonomi negara maju membaik, meskipun masih belum solid. Pemulihan ekonomi AS masih rentan, tercermin dari indikator ketenagakerjaan yang masih lemah. Melemahnya indikator ketenagakerjaan AS dan rilis minutes FOMC September 2015 yang cenderung dovish menguatkan kembali perkiraan penundaan kenaikan suku bunga Fed Fund Rate (FFR) di AS. Sementara itu, pertumbuhan ekonomi Eropa diperkirakan terus membaik, ditopang oleh kuatnya permintaan domestik dan sektor manufaktur yang ekspansif. Pemulihan ekonomi global yang masih terbatas berdampak pada harga komoditas internasional yang masih terus menurun. Sejalan dengan penundaan kenaikan FFR, tekanan di pasar keuangan global pada awal Oktober 2015 mulai mereda. Namun, Bank Indonesia akan terus mencermati risiko global yang berpotensi mendorong tekanan pembalikan modal portfolio dari emerging markets, termasuk dari Indonesia</t>
  </si>
  <si>
    <t>S040</t>
  </si>
  <si>
    <t>Perekonomian dunia masih dalam tren melambat akibat dampak penerapan tarif resiprokal Amerika Serikat (AS) dan ketidakpastian yang masih tinggi. Berbagai indikator menunjukkan perlambatan pertumbuhan ekonomi terjadi di sebagian besar negara disertai dengan disparitas pertumbuhan antarnegara. Di AS, keyakinan pelaku ekonomi menurun seiring implementasi kebijakan tarif yang berdampak pada melemahnya konsumsi rumah tangga dan naiknya tingkat pengangguran. Kinerja ekonomi Tiongkok juga melambat akibat menurunnya ekspor terutama ke AS sebagai dampak tarif resiprokal AS serta melemahnya permintaan domestik khususnya investasi. Ekonomi Eropa dan Jepang juga dalam tren menurun sejalan dengan tertekannya kinerja ekspor. Sementara itu, ekonomi India sedikit meningkat ditopang oleh stimulus fiskal untuk mendorong konsumsi. Dengan perkembangan tersebut, Bank Indonesia memprakirakan pertumbuhan ekonomi dunia 2025 masih berpotensi lebih rendah dari prakiraan sebelumnya sekitar 3,0%. Prospek ekonomi dunia yang belum kuat dan menurunnya tekanan inflasi mendorong sebagian bank sentral menempuh kebijakan moneter akomodatif, kecuali di Jepang. Probabilitas penurunan Fed Funds Rate (FFR) juga semakin tinggi sejalan dengan naiknya tingkat pengangguran AS. Di pasar keuangan global, yield US Treasury menurun sejalan dengan ekspektasi penurunan FFR dan mendorong pelemahan indeks mata uang dolar AS (DXY). Dengan masih tingginya ketidakpastian, aliran modal global ke komoditas emas semakin meningkat sedangkan aliran modal ke emerging market (EM) tertahan. Ke depan, volatilitas pasar keuangan global masih terus berlanjut sehingga perlu diantisipasi dengan penguatan berbagai respons dan koordinasi kebijakan untuk menjaga ketahanan ekonomi dalam negeri</t>
  </si>
  <si>
    <t>S041</t>
  </si>
  <si>
    <t>Inflasi IHK Februari 2013 mencapai 0,75% (mtm) atau 5,31% (yoy). Inflasi inti tetap terkendali 4,29% (yoy) sejalan dengan harga komoditas global nonmakanan yang terkendali dan stabilitas nilai tukar rupiah yang terjaga. Di sisi lain, tekanan inflasi terutama berasal dari tingginya inflasi harga pangan ( volatile foods ) antara lain sebagai dampak gangguan cuaca dan terbatasnya pasokan komoditas hortikultura yang berasal dari impor. Sementara itu, inflasi administered prices yang cukup tinggi disumbang oleh kenaikan Tarif Tenaga Listrik (TTL). Tekanan inflasi diprakirakan akan mereda seiring dengan siklus panen dan secara keseluruhan tahun 2013 diprakirakan akan tetap terkendali pada kisaran sasarannya. Ke depan, Bank Indonesia akan terus memperkuat koordinasi dengan pemerintah melalui forum TPI (Tim Pengendalian Inflasi) dan TPID (Tim Pengendalian Inflasi Daerah) guna mengamankan pasokan dan distribusi barang</t>
  </si>
  <si>
    <t>S042</t>
  </si>
  <si>
    <t>Rapat Dewan Gubernur (RDG) Bank Indonesia pada 20-21 Februari 2019 memutuskan untuk mempertahankan BI 7-day Reverse Repo Rate (BI7DRR) sebesar 6,00%, suku bunga Deposit Facility sebesar 5,25%, dan suku bunga Lending Facility sebesar 6,75%. Keputusan tersebut tetap konsisten dengan upaya memperkuat stabilitas eksternal, khususnya untuk mengendalikan defisit transaksi berjalan dalam batas yang aman dan mempertahankan daya tarik aset keuangan domestik. Bank Indonesia juga terus menempuh strategi operasi moneter untuk meningkatkan ketersediaan likuiditas dalam mendorong pembiayaan perbankan. Ke depan, Bank Indonesia akan menempuh kebijakan makroprudensial yang akomodatif dan penguatan kebijakan sistem pembayaran dalam rangka memperluas pembiayaan ekonomi. Koordinasi dengan Pemerintah dan otoritas terkait juga terus dipererat untuk mempertahankan stabilitas ekonomi guna menjaga momentum pertumbuhan ekonomi ke depan</t>
  </si>
  <si>
    <t>S043</t>
  </si>
  <si>
    <t>Neraca perdagangan mencatat surplus terutama berasal dari besarnya surplus neraca nonmigas. Neraca perdagangan Indonesia pada Juli 2014 tercatat surplus 0,13 miliar dolar AS setelah pada bulan sebelumnya mengalami defisit sebesar 0,29 miliar dolar AS. Kinerja neraca perdagangan tersebut didorong oleh membaiknya surplus neraca perdagangan nonmigas yang meningkat menjadi 1,73 miliar dolar AS dan melampaui defisit neraca perdagangan migas sebesar 1,60 miliar dolar AS. Ke depan, kinerja neraca perdagangan non-migas diperkirakan akan didukung oleh peningkatan aktivitas ekspor seiring dengan perbaikan ekonomi global dan mulai kembalinya ekspor mineral, meskipun defisit neraca migas diperkirakan masih berlanjut. Sementara itu, dari neraca finansial, aliran masuk modal asing tetap besar didorong oleh persepsi positif terhadap prospek ekonomi domestik yang semakin sehat. Hingga Agustus 2014, aliran masuk portofolio asing ke pasar keuangan Indonesia telah mencapai 14,4 miliar dolar AS. Dengan perkembangan tersebut, cadangan devisa Indonesia pada akhir Agustus 2014 meningkat menjadi 111,2 miliar dolar AS, setara 6,5 bulan impor atau 6,3 bulan impor dan pembayaran utang luar negeri Pemerintah, serta berada di atas standar kecukupan internasional sekitar 3 bulan impor</t>
  </si>
  <si>
    <t>S044</t>
  </si>
  <si>
    <t>Sementara itu, secara umum kondisi industri perbankan selama tahun 2006 terus membaik, tercermin dari perkembangan positif berbagai indikator utama kinerja perbankan. Total aset selama tahun 2006 naik sebesar Rp 223,7 triliun atau 15,2%. Rasio kecukupan modal (CAR) perbankan meningkat menjadi 20,5% dari 19,5%. Di sisi lain, masih ada permasalahan utama yang dihadapi industri perbankan yaitu pelaksanaan fungsi intermediasi yang masih belum optimal dan upaya penurunan kredit bermasalah. Dari kenaikan aset sebesar Rp 223,7 triliun pada 2006, hanya sebesar Rp 102,8 triliun yang ditanamkan dalam bentuk kredit, sedangkan Rp 110,3 triliun ditanamkan dalam bentuk surat berharga (SBI+ FASBI). NPL pada periode yang sama turun signifikan menjadi 7,0% ( gross ) dan 3,6% ( net ) dari posisi Desember 2005 sebesar 8,3% ( gross ) dan 4,8% ( net )</t>
  </si>
  <si>
    <t>S045</t>
  </si>
  <si>
    <t>Inflasi Indeks Harga Konsumen (IHK) tetap terkendali. Inflasi IHK pada Januari 2026 tercatat sebesar 3,55% (yoy), lebih tinggi dibandingkan dengan realisasi pada bulan sebelumnya sebesar 2,92% (yoy). Peningkatan tersebut disebabkan oleh faktor base effect kebijakan diskon tarif listrik rumah tangga sebesar 50% yang ditempuh pada Januari dan Februari 2025. Sementara itu, inflasi inti tetap terjaga rendah sebesar 2,45% (yoy) sejalan dengan kapasitas perekonomian yang masih dapat memenuhi peningkatan kegiatan ekonomi. Inflasi kelompok VF juga terjaga rendah sebesar 1,14% (yoy) seiring dengan peningkatan pasokan komoditas cabai merah, cabai rawit, dan bawang merah pada masa panen. Ke depan, Bank Indonesia meyakini inflasi tahun 2026 dan 2027 secara tahunan akan menurun sehingga tetap berada dalam kisaran sasaran 2,5±1%. Inflasi inti diprakirakan tetap rendah sejalan dengan pertumbuhan ekonomi yang masih di bawah kapasitas serta didukung konsistensi suku bunga kebijakan moneter Bank Indonesia dalam menjangkar ekspektasi inflasi sesuai dengan sasarannya dan imported inflation yang tetap terkendali. Sementara itu, inflasi VF diprakirakan tetap terkendali didukung oleh eratnya sinergi antara Bank Indonesia bersama Tim Pengendalian Inflasi Pusat/Daerah (TPIP/TPID) dan penguatan implementasi Gerakan Pengendalian Inflasi dan Pangan Sejahtera (GPIPS)</t>
  </si>
  <si>
    <t>S046</t>
  </si>
  <si>
    <t>Pertumbuhan ekonomi Indonesia perlu terus. didorong sehingga tetap baik di tengah memburuknya kondisi dan prospek ekonomi global. Berbagai indikator terkini menunjukkan pertumbuhan ekonomi triwulan I 2026 meningkat ditopang oleh permintaan domestik. Konsumsi rumah tangga naik didukung keyakinan pelaku ekonomi dan kondisi penghasilan yang terjaga serta kenaikan permintaan selama perayaan Hari Besar Keagamaan Nasional (HBKN) Idulfitri 1447 H. Belanja Pemerintah meningkat seiring pemberian Tunjangan Hari Raya (THR) dan kenaikan belanja sosial serta berbagai insentif lainnya, termasuk transfer ke daerah. Investasi, khususnya bangunan juga tetap baik didorong terutama oleh akselerasi investasi terkait berbagai program prioritas Pemerintah. Ke depan, berbagai kebijakan Pemerintah dan Bank Indonesia perlu terus diperkuat di tengah menurunnya prospek perekonomian global. Berbagai respons kebijakan diperkuat untuk memitigasi dampak perlambatan ekonomi dunia dan mendorong sumber-sumber pertumbuhan ekonomi dari permintaan domestik. Dalam kaitan ini, berbagai program prioritas Pemerintah untuk menyerap tenaga kerja, meningkatkan permintaan domestik, dan tetap memperkuat ketahanan fiskal terus dilakukan. Bank Indonesia terus memperkuat bauran kebijakan melalui kebijakan moneter, makroprudensial, dan sistem pembayaran yang bersinergi erat dengan kebijakan Pemerintah untuk menjaga stabilitas dengan tetap mendukung pertumbuhan ekonomi. Bank Indonesia memprakirakan pertumbuhan ekonomi Indonesia pada tahun 2026 dalam kisaran 4,9–5,7%</t>
  </si>
  <si>
    <t>S047</t>
  </si>
  <si>
    <t>Nilai tukar Rupiah menguat sejalan dengan kebijakan stabilisasi yang ditempuh Bank Indonesia. Nilai tukar Rupiah pada 17 April 2023 menguat sebesar 1,38% secara point-to-point dibandingkan dengan level akhir Maret 2023, didorong kuatnya aliran masuk modal asing di investasi portfolio. Secara year-to-date , nilai tukar Rupiah pada 17 April 2023 menguat 5,26% dari level akhir Desember 2022, lebih tinggi dibandingkan dengan apresiasi Rupee India sebesar 0,93%, Baht Thailand sebesar 0,71%, dan depresiasi Peso Filipina sebesar 0,22%. Ke depan, Bank Indonesia memprakirakan Rupiah terus menguat sejalan dengan surplusnya transaksi berjalan dan berlanjutnya aliran masuk modal asing dipengaruhi prospek pertumbuhan ekonomi domestik yang tinggi, inflasi yang rendah, serta imbal hasil aset keuangan domestik yang menarik. Bank Indonesia akan terus memperkuat kebijakan stabilisasi nilai tukar Rupiah untuk mengendalikan inflasi barang impor ( imported inflation ) dan memitigasi risiko rambatan ketidakpastian pasar keuangan global terhadap nilai tukar Rupiah. Kebijakan tersebut diperkuat dengan pengelolaan devisa hasil ekspor melalui implementasi Term Deposit valas Devisa Hasil Ekspor sesuai dengan mekanisme pasar</t>
  </si>
  <si>
    <t>S048</t>
  </si>
  <si>
    <t>Inflasi tetap rendah dan mendukung stabilitas perekonomian. Inflasi Indeks Harga Konsumen (IHK) Juni 2020 tercatat 0,18% (mtm) atau 1,96% (yoy), menurun dibandingkan dengan inflasi bulan sebelumnya sebesar 2,19% (yoy). Dengan perkembangan ini, inflasi IHK sampai Juni 2020 tercatat masih rendah yakni 1,09% (ytd). Berdasarkan komponennya, inflasi inti menurun dipengaruhi melambatnya permintaan domestik dan konsistennya Bank Indonesia dalam mengarahkan ekspektasi inflasi sesuai target. Inflasi kelompok volatile food secara tahunan masih menurun di tengah memadainya pasokan dan kelancaran distribusi komoditas pokok. Sementara itu, inflasi kelompok administered prices kembali naik, terutama disebabkan meningkatnya tarif aneka angkutan setelah relaksasi aturan pembatasan operasional angkutan umum pada awal Juni 2020. Ke depan, Bank Indonesia tetap konsisten menjaga stabilitas harga dan memperkuat koordinasi kebijakan dengan Pemerintah, baik di tingkat pusat maupun daerah, untuk mengendalikan inflasi tetap rendah dalam sasarannya sebesar 3,0% ± 1% pada 2020 dan 2021</t>
  </si>
  <si>
    <t>S049</t>
  </si>
  <si>
    <t>Kebijakan nilai tukar Bank Indonesia terus diarahkan untuk menjaga stabilitas Rupiah dari dampak menguatnya dolar AS secara luas. Nilai tukar Rupiah pada November 2024 (hingga 19 November 2024) melemah sebesar 0,84% (ptp) dari bulan sebelumnya. Pelemahan nilai tukar tersebut diakibatkan oleh menguatnya mata uang dolar AS secara luas, serta berbaliknya preferensi investor global dengan memindahkan alokasi portofolionya kembali ke AS pascahasil pemilihan umum di AS. Secara umum pelemahan nilai tukar Rupiah tetap terkendali, yang bila dibandingkan dengan level akhir Desember 2023 tercatat depresiasi sebesar 2,74%, lebih kecil dibandingkan dengan pelemahan Dolar Taiwan, Peso Filipina, dan Won Korea yang masing-masing terdepresiasi sebesar 5,26%, 5,83%, dan 7,53%. Ke depan, nilai tukar Rupiah diprakirakan stabil didukung komitmen Bank Indonesia menjaga stabilitas nilai tukar Rupiah, imbal hasil yang menarik, inflasi yang rendah, dan prospek pertumbuhan ekonomi Indonesia yang tetap baik. Seluruh instrumen moneter akan terus dioptimalkan, termasuk penguatan strategi operasi moneter pro-market melalui optimalisasi instrumen SRBI, SVBI, dan SUVBI, untuk memperkuat efektivitas kebijakan dalam menarik aliran masuk investasi portofolio asing dan mendukung penguatan nilai tukar Rupiah</t>
  </si>
  <si>
    <t>S050</t>
  </si>
  <si>
    <t>Ketidakpastian global kembali meningkat pasca re-eskalasi intensitas perang antara Amerika Serikat (AS) dan Iran. pada awal Juli 2026. Lalu lintas di Selat Hormuz kembali terhambat sehingga mengganggu produksi dan rantai pasok perdagangan antarnegara serta harga minyak dan berbagai komoditas dunia berbalik naik. Prospek pertumbuhan ekonomi dunia tahun 2026 diperkirakan tetap lemah sebesar 3,0% dan inflasi global meningkat menjadi sekitar 4,5%. Kebijakan moneter global menjadi lebih ketat sebagai respons terhadap makin tingginya tekanan inflasi tersebut. Suku bunga kebijakan moneter AS, Fed Funds Rate (FFR), diperkirakan naik lebih awal ke triwulan IV 2026. Imbal hasil ( yield ) US Treasury juga naik tinggi ke level 4,56% (tenor 10 tahun) dan 4,18% (tenor 2 tahun) pada tanggal 20 Juli 2026 dan diprakirakan meningkat lagi didorong oleh melebarnya defisit fiskal AS. Di pasar keuangan global, aliran modal keluar dari negara Emerging Markets beralih ke pasar keuangan AS dan aset yang memberikan imbal hasil tinggi dan aman ( safe-haven assets ) sehingga mendorong penguatan mata uang dolar AS terhadap negara maju (DXY) dan negara berkembang (ADXY). Ketidakpastian perekonomian dan pasar keuangan global yang kembali meningkat tersebut mengharuskan penguatan respons dan sinergi kebijakan fiskal dan moneter guna memperkuat ketahanan eksternal, menjaga stabilitas, dan mendorong pertumbuhan ekonomi domestik</t>
  </si>
  <si>
    <t>S051</t>
  </si>
  <si>
    <t>Rapat Dewan Gubernur (RDG) Bank Indonesia pada 14-15 Juni 2017 memutuskan untuk mempertahankan BI 7-day Reverse Repo Rate (BI 7-day RR Rate) tetap sebesar 4,75%, dengan suku bunga Deposit Facility tetap sebesar 4,00% dan Lending Facility tetap sebesar 5,50%, berlaku efektif sejak 16 Juni 2017. Keputusan tersebut konsisten dengan upaya Bank Indonesia menjaga stabilitas makroekonomi dan sistem keuangan, serta mendukung keberlanjutan pemulihan ekonomi domestik. Bank Indonesia tetap mewaspadai sejumlah risiko, baik yang bersumber dari global maupun domestik. Dari sisi global, kenaikan lebih lanjut Fed Fund Rate (FFR) dan rencana penurunan besaran neraca bank sentral AS, hasil Pemilu di Inggris, serta potensi menurunnya harga komoditas khususnya minyak dunia merupakan risiko yang tetap perlu diwaspadai. Dari sisi domestik, beberapa risiko yang tetap perlu dicermati adalah dampak penyesuaian administered prices terhadap inflasi serta masih berlanjutnya konsolidasi korporasi dan perbankan. Untuk itu, Bank Indonesia terus memperkuat bauran kebijakan moneter, makroprudensial, dan sistem pembayaran guna menjaga stabilitas makroekonomi dan sistem keuangan. Bank Indonesia juga terus mempererat koordinasi bersama Pemerintah dalam rangka pengendalian inflasi agar tetap berada pada kisaran sasaran dan mendorong kelanjutan reformasi struktural agar dapat mendukung pertumbuhan ekonomi yang berkesinambungan</t>
  </si>
  <si>
    <t>S052</t>
  </si>
  <si>
    <t>Di sisi domestik, Dewan Gubernur berpandangan bahwa pertumbuhan ekonomi Indonesia diprakirakan meningkat sebesar 6,0-6,5% pada tahun 2011 dan 6,1-6,6% pada tahun 2012. Pertumbuhan ekonomi tersebut ditopang oleh sumber pertumbuhan yang semakin berimbang seiring dengan kinerja investasi yang terus meningkat dan kinerja ekspor yang masih tetap solid. Pada triwulan II-2011, pertumbuhan ekonomi diprakirakan tumbuh cukup tinggi yaitu sebesar 6,4%. Peran investasi untuk penambahan kapasitas perekonomian, terutama melalui PMA, diperkirakan akan meningkat sejalan dengan masih kuatnya permintaan, baik dari domestik maupun eksternal, serta membaiknya sovereign credit rating . Secara sektoral, seluruh sektor ekonomi diprakirakan akan tumbuh tinggi, dengan pertumbuhan tertinggi pada sektor transportasi &amp; komunikasi, sektor perdagangan, hotel &amp; restoran, dan sektor bangunan</t>
  </si>
  <si>
    <t>S053</t>
  </si>
  <si>
    <t>Likuiditas perbankan dan perekonomian masih memadai untuk mendorong peningkatan kredit/pembiayan dan pemulihan ekonomi lebih lanjut. Pada November 2022, rasio Alat Likuid terhadap Dana Pihak Ketiga (AL/DPK) tetap tinggi, mencapai 30,42%, sehingga mendukung ketersediaan dana bagi perbankan untuk penyaluran kredit/pembiayaan bagi dunia usaha. Hal ini sejalan dengan. stance kebijakan likuiditas yang akomodatif oleh Bank Indonesia. Likuiditas perekonomian juga tetap sejalan dengan kegiatan ekonomi, tercermin pada uang beredar dalam arti sempit (M1) dan luas (M2) yang tumbuh masing-masing sebesar 11,7% (yoy) dan 9,5% (yoy). Sementara itu, sejalan pelaksanaan Kesepakatan Bersama (KB) Bank Indonesia dan Kementerian Keuangan, Bank Indonesia melanjutkan pembelian SBN di pasar perdana dalam rangka program pemulihan ekonomi nasional serta pembiayaan penanganan kesehatan dan kemanusiaan guna penanganan dampak pandemi Covid-19. Secara keseluruhan tahun 2022, hingga 21 Desember 2022, Bank Indonesia telah melakukan pembelian SBN sebesar Rp144,53 triliun yang terdiri dari pelaksaan KB I sebesar Rp49,11 triliun dan KB III sebesar Rp95,42 triliun. Sesuai KB III, Bank Indonesia juga masih akan melakukan pembelian SBN di pasar perdana sebesar Rp128,58 triliun untuk pendanaan anggaran kesehatan dan kemanusiaan dalam APBN 2022</t>
  </si>
  <si>
    <t>S054</t>
  </si>
  <si>
    <t>Transmisi pelonggaran kebijakan moneter tetap berjalan baik dengan kecukupan likuiditas perbankan yang terjaga. Likuiditas di pasar uang dan perbankan memadai, tercermin pada rerata harian volume PUAB Februari 2020 tetap tinggi sebesar Rp14,05 triliun serta rasio Alat Likuid terhadap Dana Pihak Ketiga (AL/DPK) tetap besar yakni 21,47% pada Januari 2020. Transmisi suku bunga ke pasar uang berjalan cukup baik, tercermin pada penurunan suku bunga PUAB O/N sebesar 126 bps menjadi 4,58% dan suku bunga JIBOR tenor 1 minggu sebesar 141 bps menjadi 4,83% sejak akhir Juni 2019, sebelum penurunan BI7DRR pada Juli 2019. Sementara itu, transmisi ke suku bunga perbankan juga berlanjut. Sejak akhir Juni 2019, rerata tertimbang suku bunga deposito turun 67 bps menjadi 6,16% pada Februari 2020, sementara suku bunga Kredit Modal Kerja turun 35 bps menjadi 10,07% pada posisi yang sama. Pertumbuhan uang beredar dalam arti sempit (M1) dan uang beredar dalam arti luas (M2) pada Januari 2020 bergerak sejalan dengan pola pertumbuhan ekonomi, yakni masing-masing 7,76% (yoy) dan 7,09% (yoy). Ke depan, Bank Indonesia akan terus memastikan kecukupan likuiditas dan meningkatkan efisiensi di pasar uang, serta memperkuat transmisi bauran kebijakan yang akomodatif</t>
  </si>
  <si>
    <t>S055</t>
  </si>
  <si>
    <t>Rapat Dewan Gubernur (RDG) Bank Indonesia (BI) pada hari ini, Selasa, 6 Februari 2007, memutuskan untuk menurunkan kembali BI Rate, sebesar 25 bps dari 9,50% menjadi 9,25 %. Keputusan tersebut diambil setelah melakukan evaluasi terhadap kondisi makroekonomi Indonesia hingga akhir Januari 2007, prospek ekonomi moneter ke depan dan berbagai faktor risiko yang dihadapi, serta pencapaian sasaran inflasi 6+1% dan 5%+1% untuk tahun 2007 dan 2008. "Dari beberapa faktor risiko kedepan yang dipertimbangkan dalam RDG menunjukkan bahwa ruang bagi penurunan BI Rate, walaupun masih ada, akan semakin menyempit dan terbatas", demikian Gubernur Bank Indonesia, Burhanuddin Abdullah</t>
  </si>
  <si>
    <t>S056</t>
  </si>
  <si>
    <t>Pertumbuhan ekonomi Indonesia triwulan II 2019 diprakirakan relatif sama dengan pertumbuhan ekonomi pada triwulan sebelumnya. Konsumsi swasta tetap baik didukung keyakinan konsumen yang tetap terjaga. Investasi bangunan juga tetap tumbuh stabil. Sementara itu, ekspor Indonesia diprakirakan tumbuh negatif dipengaruhi terbatasnya permintaan dunia dan turunnya harga komoditas akibat berlanjutnya ketegangan hubungan dagang, meskipun ekspor baja naik pada Juni 2019. Dampak ketegangan hubungan dagang terhadap perlambatan ekspor juga terjadi di sejumlah negara. Selanjutnya, ekspor yang kontraksi mendorong penurunan impor dan investasi nonbangunan yang tumbuh terbatas. Ke depan, upaya untuk mendorong permintaan domestik, termasuk investasi, perlu ditingkatkan untuk memitigasi dampak negatif perlambatan ekonomi dunia. Secara keseluruhan, Bank Indonesia memprakirakan pertumbuhan ekonomi Indonesia 2019 berada di bawah titik tengah kisaran 5,0-5,4%. Bank Indonesia akan menempuh bauran kebijakan dengan Pemerintah, dan otoritas terkait untuk mendorong momentum pertumbuhan ekonomi</t>
  </si>
  <si>
    <t>S057</t>
  </si>
  <si>
    <t>Nilai tukar rupiah terhadap dolar AS mencatat pelemahan, terutama didorong oleh terus berlanjutnya penguatan dolar AS terhadap semua mata uang dunia. Melemahnya mata uang Euro seiring dengan Quantitative Easing yang ditempuh Bank Sentral Eropa semakin meningkatkan tekanan pelemahan mata uang emerging markets, termasuk Indonesia. Pada Februari 2015, secara rata-rata rupiah melemah 1,38% (mtm) ke level Rp12.757 per dolar. Secara point-to-point rupiah terdepresiasi 1,99% dan ditutup di level Rp12.925 per dolar AS. Bank Indonesia terus meningkatkan langkah-langkah stabilisasi nilai tukar Rupiah, termasuk intervensi di pasar valas maupun pembelian SBN di pasar sekunder. Ke depan, Bank Indonesia akan tetap konsisten untuk menjaga stabilitas nilai tukar rupiah sesuai kondisi fundamentalnya</t>
  </si>
  <si>
    <t>S058</t>
  </si>
  <si>
    <t>Nilai tukar rupiah pada triwulan II-2013 mengalami depresiasi sesuai dengan nilai fundamentalnya. Secara point to point , nilai tukar rupiah melemah sebesar 2,09% (qtq) menjadi Rp9.925 per dolar AS, atau secara rata-rata melemah 1,03% (qtq) menjadi Rp9.781 per dolar AS. Seperti halnya pelemahan mata uang negara-negara di kawasan Asia, depresiasi nilai tukar rupiah terutama dipengaruhi penyesuaian kepemilikan non-residen di aset keuangan domestik dipicu sentimen terkait pengurangan ( tapering off ) stimulus moneter oleh the Fed. Perkembangan ini mengakibatkan pelemahan rupiah sejalan dengan tren pergerakan mata uang negara-negara di kawasan Asia. Bank Indonesia memandang bahwa perkembangan nilai tukar pada saat ini menggambarkan kondisi fundamental perekonomian Indonesia</t>
  </si>
  <si>
    <t>S059</t>
  </si>
  <si>
    <t>Stabilitas sistem keuangan dan fungsi intermediasi perbankan tetap terjaga dengan baik. Kinerja industri perbankan yang solid tercermin pada tingginya rasio kecukupan modal (CAR/ Capital Adequacy Ratio ) yang berada jauh di atas minimum 8% dan terjaganya rasio kredit bermasalah (NPL/ Non Performing Loan ) gross di bawah 5%. Sementara itu, pertumbuhan kredit hingga akhir Februari 2013 mencapai 23,4% (yoy), meningkat dibandingkan dengan bulan sebelumnya. Kredit modal kerja dan kredit investasi masih tumbuh cukup tinggi sebesar 24,5% (yoy) dan 25,4% (yoy). Sementara itu, kredit konsumsi tumbuh 20,3% (yoy). Ke depan, Bank Indonesia meyakini stabilitas sistem keuangan akan tetap terjaga dengan fungsi intermediasi perbankan yang akan meningkat seiring dengan peningkatan kinerja perekonomian nasional Laporan lengkap mengenai pembahasan Rapat Dewan Gubernur (RDG) April 2013 yang memuat perkembangan ekonomi makro dan kebijakan moneter dapat dilihat dalam Laporan Kebijakan Moneter (TKM) di Website Bank Indonesia . Adapun mengenai perkembangan perekonomian daerah triwulanan dapat dilihat pada Laporan Nusantara (Kajian Ekonomi dan Keuangan Regional). Jakarta, 11 April 2013 Departemen Perencanaan Strategis dan Hubungan Masyarakat Budianto Direktur Eksekutif</t>
  </si>
  <si>
    <t>S060</t>
  </si>
  <si>
    <t>Defisit transaksi berjalan diprakirakan akan rendah . Meskipun ekspor akan menurun sejalan dengan penurunan permintaan dan harga komoditas dunia, neraca perdagangan diprakirakan membaik dipengaruhi oleh penurunan impor yang lebih tinggi akibat menurunnya permintaan domestik dan berkurangnya kebutuhan input produksi untuk kegiatan ekspor. Defisit neraca jasa juga diprakirakan lebih rendah, didorong oleh penurunan devisa untuk biaya transportasi impor serta penurunan devisa pariwisata yang tidak setinggi yang diprakirakan. Defisit neraca pendapatan primer pun menurun sejalan dengan berkurangnya penurunan kepemilikan asing pada instrumen keuangan domestik. Secara keseluruhan, defisit transaksi berjalan di Triwulan I-2020 diperkirakan akan lebih rendah dari 1,5% PDB. Sementara itu, aliran modal asing diprakirakan akan berangsur-angsur kembali masuk ke Indonesia sejalan dengan meredanya kepanikan pasar keuangan global dan membaiknya ekonomi domestik. Secara keseluruhan prospek NPI 2020 yang tetap baik dapat memperkuat ketahanan sektor eksternal Indonesia. Posisi cadangan devisa pada akhir Maret 2020 sebesar 121,0 miliar dolar AS, atau setara dengan pembiayaan 7,2 bulan impor atau 7,0 bulan impor dan pembayaran utang luar negeri Pemerintah, dan diprakirakan akan meningkat pada akhir April 2020. Bank Indonesia berpandangan posisi cadangan devisa tersebut lebih dari cukup untuk memenuhi kebutuhan impor dan pembayaran utang luar negeri pemerintah serta kebutuhan untuk stabilisasi nilai tukar Rupiah</t>
  </si>
  <si>
    <t>S061</t>
  </si>
  <si>
    <t>Pertumbuhan ekonomi Indonesia meningkat pada triwulan II 2016, meskipun belum merata baik secara spasial maupun sektoral. Pertumbuhan ekonomi pada triwulan II 2016 mencapai 5,18% (yoy), lebih tinggi dibandingkan triwulan sebelumnya sebesar 4,91% (yoy). Meningkatnya kinerja ekonomi pada triwulan II 2016 didorong oleh meningkatnya permintaan domestik, terutama konsumsi dan investasi pemerintah serta konsumsi rumah tangga. Stimulus fiskal dan kebijakan moneter yang longgar mulai memberi daya dorong terhadap konsumsi pemerintah dan konsumsi swasta. Secara spasial, pertumbuhan ekonomi pada triwulan II 2016 didorong oleh peningkatan pertumbuhan di wilayah Jawa dan Sumatera, sementara pertumbuhan ekonomi di wilayah Kalimantan dan Kawasan Timur Indonesia (KTI) masih melemah. Dari sisi sektoral, perbaikan ekonomi ditopang oleh sektor jasa keuangan dan pertanian. Ke depan, Bank Indonesia memperkirakan pertumbuhan ekonomi masih akan terjaga dengan baik, didukung oleh pelonggaran kebijakan moneter dan makropudensial yang telah ditempuh dan percepatan implementasi Paket Kebijakan Pemerintah. Namun, di sisi lain, penghematan belanja pemerintah pada semester II 2016 berpotensi menurunkan pertumbuhan tahun ini. Dengan perkembangan tersebut, pertumbuhan ekonomi untuk keseluruhan 2016 diperkirakan akan berada di kisaran 4,9-5,3% (yoy), sedikit lebih rendah dari kisaran sebelumnya, yaitu 5,0 – 5,4% (yoy)</t>
  </si>
  <si>
    <t>S062</t>
  </si>
  <si>
    <t>Seiring dengan keyakinan terhadap prospek perekonomian, Dewan Gubernur tetap menekankan beberapa faktor risiko yang perlu dicermati, baik dari sisi internal maupun eksternal, yang dapat menghambat pertumbuhan ekonomi dan berpotensi menimbulkan gangguan pada stabilitas makroekonomi. Dari sisi internal, Dewan Gubernur mencatat beberapa hal yang berpotensi memberikan gangguan yang berasal dari antara lain ekses likuiditas di pasar uang yang cukup besar, rasio non performing loan (NPL) perbankan yang relatif masih tinggi dan tingkat undisbursed loan perbankan yang cukup besar, serta rencana kenaikan beberapa administered prices yang belum dipastikan besaran maupun waktu penetapannya. Dari sisi eksternal, harga minyak dunia yang tinggi dan masih berfluktuasi menjadi faktor yang patut mendapat perhatian</t>
  </si>
  <si>
    <t>S063</t>
  </si>
  <si>
    <t>Rapat Dewan Gubernur (RDG) Bank Indonesia pada tanggal 12 Juli 2012 memutuskan untuk mempertahankan BI Rate sebesar 5,75%. Bank Indonesia memandang bahwa tingkat suku bunga tersebut masih konsisten dengan tekanan inflasi yang rendah dan terkendali sesuai dengan sasaran inflasi tahun 2012 dan 2013, yaitu 4,5% ± 1%. Di sisi eksternal, Bank Indonesia terus mewaspadai melemahnya perekonomian global yang berdampak pada melambatnya ekspor di tengah masih tingginya impor sejalan dengan kuatnya permintaan domestik. Sejalan dengan itu, Bank Indonesia terus memperkuat pengelolaan nilai tukar sesuai fundamentalnya dan didukung oleh langkah-langkah lanjutan dalam operasi moneter dan pendalaman pasar valas dalam rangka menjaga agar penyesuaian keseimbangan eksternal berjalan secara teratur. Dengan langkah-langkah kebijakan tersebut, tekanan neraca pembayaran diperkirakan kembali berkurang dalam paruh kedua tahun 2012</t>
  </si>
  <si>
    <t>S064</t>
  </si>
  <si>
    <t>Evaluasi Perekonomian sampai dengan Oktober 2005 Pertumbuhan ekonomi masih menunjukkan kinerja yang cukup baik meskipun dibawah perkiraan semula. Berbagai indikator menunjukkan bahwa kegiatan investasi tetap tinggi dan kinerja ekspor terus menunjukkan perbaikan. Tingkat penggunaan kapasitas produksi juga terus meningkat. Sementara itu, kinerja neraca pembayaran sedikit membaik, terutama pada neraca modal, dan cadangan devisa meningkat mencapai USD32,6 milyar. Pada bulan Oktober, inflasi meningkat secara signifikan sebagai akibat dari kenaikan harga BBM, beserta dampak lanjutannya seperti kenaikan tarif transportasi. Tekanan inflasi yang tinggi tersebut semakin meningkat seiring dengan faktor musiman menyambut bulan Ramadhan dan hari raya Idul Fitri. Laju inflasi untuk bulan Oktober 2005 sebesar 8,70% (m-t-m). Dengan perkembangan ini, laju inflasi periode Januari s.d Oktober 2005 adalah 15,65% (y-t-d). Sementara itu, inflasi inti meskipun terdapat kecenderungan meningkat diperkirakan masih dalam kisaran 7-8%. Patut dikemukakan bahwa tekanan inflasi sebagai akibatnya tingginya harga minyak internasional juga dialami oleh sejumlah negara tetangga di kawasan, seperti Thailand, Malaysia dan India. Nilai tukar rupiah bergerak dengan kecenderungan menguat, terutama disebabkan oleh peningkatan ‘interest rate differential’ pasca kenaikan BI Rate dan membaiknya indeks risiko. Selain itu, penguatan rupiah juga disumbang oleh peningkatan investasi portofolio oleh investor asing. Kestabilan nilai tukar juga didorong oleh efektivitas pengelolaan likuiditas di pasar rupiah bahkan dalam beberapa hari mengalami kondisi yang cukup ketat sehingga tidak mendorong perilaku ‘currency switching’. Perkembangan tersebut mampu mengurangi dampak kecenderungan pelemahan mata uang regional terhadap USD sejalan dengan berlanjutnya siklus pengetatan moneter AS. Di tengah berbagai risiko di sektor keuangan, sektor perbankan secara umum masih mampu menunjukkan kinerja yang cukup menggembirakan. Fungsi intermediasi perbankan terus menunjukkan perbaikan. Pertumbuhan kredit menunjukkan bahwa target yang telah ditetapkan untuk tahun 2005 sebesar 22% diperkirakan akan tercapai. Sampai dengan September 2005, kredit yang disalurkan telah mencapai 20,2%. Dengan demikian, LDR menjadi 66,1%. Sementara itu, kredit yang disalurkan sektor UMKM meningkat cukup signifikan dan mencapai Rp 331,1 triliun atau 51% dari total kredit perbankan. Namun demikian, meningkatnya risiko kredit seiring dengan naiknya suku bunga dan risiko di sektor riil telah meningkatkan rasio NPL menjadi 8,76%. Ke depan, peningkatan risiko kredit ini perlu semakin diwaspadai oleh sektor perbankan</t>
  </si>
  <si>
    <t>S065</t>
  </si>
  <si>
    <t>Nilai tukar rupiah selama Juli 2013 terdepresiasi sesuai dengan arah fundamentalnya. Secara rata-rata, rupiah melemah 1,95% (mtm) dibandingkan dengan bulan sebelumnya ke level Rp10.071 per dolar AS. Sementara itu, secara point-to-point, rupiah terdepresiasi 3,43% dan ditutup di level Rp10.278 per dolar AS. Bank Indonesia menilai tren pelemahan nilai tukar rupiah tersebut masih sejalan dengan kondisi fundamental perekonomian serta dapat mendukung upaya mempercepat perbaikan keseimbangan kondisi eksternal dan menopang pertumbuhan ekonomi ke arah yang lebih sehat</t>
  </si>
  <si>
    <t>S066</t>
  </si>
  <si>
    <t>Rapat Dewan Gubernur (RDG) Bank Indonesia pada 16-17 November 2022 memutuskan untuk. menaikkan BI 7- Day Reverse Repo Rate (BI7DRR) sebesar 50 bps menjadi 5,25%, suku bunga Deposit Facility sebesar 50 bps menjadi 4,50%, dan suku bunga Lending Facility sebesar 50 bps menjadi 6,00% . Keputusan kenaikan suku bunga tersebut sebagai langkah front loaded, pre-emptive , dan forward looking untuk menurunkan ekspektasi inflasi yang saat ini masih tinggi dan memastikan inflasi inti ke depan kembali ke dalam sasaran 3,0±1% lebih awal yaitu ke paruh pertama 2023, serta memperkuat kebijakan stabilisasi nilai tukar Rupiah agar sejalan dengan nilai fundamentalnya akibat kuatnya mata uang dolar AS dan tingginya ketidakpastian pasar keuangan global, di tengah peningkatan permintaan ekonomi domestik yang tetap kuat Bank Indonesia juga terus memperkuat respons bauran kebijakan untuk menjaga stabilitas dan momentum pemulihan ekonomi sebagai berikut: Koordinasi kebijakan dengan Pemerintah Pusat, Pemerintah Daerah, dan mitra strategis dalam Tim Pengendalian Inflasi Pusat dan Daerah (TPIP dan TPID) terus diperkuat melalui Gerakan Nasional Pengendalian Inflasi Pangan (GNPIP) di berbagai daerah. Sinergi kebijakan antara Bank Indonesia dengan kebijakan fiskal Pemerintah dan dengan Komite Stabilitas Sistem Keuangan (KSSK) terus diperkuat dalam rangka menjaga stabilitas makroekonomi dan sistem keuangan, serta mendorong kredit/pembiayaan kepada dunia usaha pada sektor-sektor prioritas untuk mendukung pertumbuhan ekonomi, ekspor, serta inklusi ekonomi dan keuangan. Bank Indonesia juga terus memperkuat kerja sama internasional dengan bank sentral dan otoritas negara mitra lainnya di bidang keuangan serta fasilitasi penyelenggaraan promosi investasi dan perdagangan di sektor prioritas bekerja sama dengan instansi terkait</t>
  </si>
  <si>
    <t>S067</t>
  </si>
  <si>
    <t>Nilai tukar Rupiah tetap terkendali sesuai dengan fundamental. Rupiah secara point to point pada triwulan II 2020 mengalami apresiasi 14,42% dipengaruhi aliran masuk modal asing yang cukup besar pada Mei dan Juni 2020, meskipun secara rerata mencatat depresiasi 4,53% akibat level yang masih lemah pada April 2020. Pada awal Juli 2020, Rupiah dan mata uang regional sedikit tertekan seiring ketidakpastian global, termasuk akibat kembali meningkatnya risiko geopolitik AS-Tiongkok. Hingga 15 Juli 2020, Rupiah terdepresiasi 2,28% baik secara point to point maupun secara rerata dibandingkan dengan level Juni 2020. Dibandingkan dengan level akhir 2019, Rupiah terdepresiasi 4,83% (ytd). Ke depan, Bank Indonesia memandang nilai tukar Rupiah masih berpotensi menguat seiring levelnya yang secara fundamental masih undervalued didukung inflasi yang rendah dan terkendali, defisit transaksi berjalan yang rendah, imbal hasil aset keuangan domestik yang kompetitif, dan premi risiko Indonesia yang mulai menurun. Untuk mendukung efektivitas kebijakan nilai tukar, Bank Indonesia terus menjaga ketersediaan likuiditas baik di pasar uang maupun pasar valas dan memastikan bekerjanya mekanisme pasar</t>
  </si>
  <si>
    <t>S068</t>
  </si>
  <si>
    <t>Di sisi domestik, pertumbuhan ekonomi Indonesia pada triwulan III diperkirakan sedikit lebih tinggi dari periode sebelumnya, didorong oleh belanja modal pemerintah walaupun aktivitas sektor swasta masih berjalan relatif lambat. Pertumbuhan ekonomi terutama didukung oleh akselerasi investasi pemerintah, sejalan dengan meningkatnya realisasi belanja modal pemerintah. Hal itu tercermin dari meningkatnya belanja modal dan meningkatnya proyek-proyek pemerintah yang telah memasuki tahap konstruksi. Kegiatan investasi yang meningkat juga dikonfirmasi oleh kenaikan penjualan semen dan perbaikan penjualan alat berat untuk konstruksi. Sementara itu, investasi swasta masih relatif terbatas, namun diperkirakan akan meningkat seiring dengan rangkaian paket kebijakan pemerintah, termasuk berbagai deregulasi yang mendukung iklim investasi. Di sisi lain, indikator konsumsi, seperti penjualan eceran dan tingkat keyakinan konsumen, meskipun masih melemah namun mulai menunjukkan tanda-tanda perbaikan seperti meningkatnya penjualan kendaran bermotor. Sejalan dengan itu, perbaikan ekspor diperkirakan akan berlangsung secara gradual seiring dengan pertumbuhan ekonomi dunia yang belum secepat perkiraan semula. Secara keseluruhan tahun, pertumbuhan ekonomi diperkirakan berada pada kisaran 4,7-5,1% pada 2015. Konsistensi Pemerintah dalam mendorong reformasi struktural melalui berbagai paket kebijakan ekonomi dan realisasi proyek-proyek infrastruktur diperkirakan akan mendorong perekonomian semakin baik</t>
  </si>
  <si>
    <t>S069</t>
  </si>
  <si>
    <t>Inflasi tetap rendah dan mendukung stabilitas perekonomian. Inflasi IHK pada April 2020 tercatat 0,08% (mtm), lebih rendah dari inflasi bulan sebelumnya sebesar 0,10% (mtm). Inflasi yang rendah dipengaruhi oleh melemahnya permintaan sejalan dengan dampak COVID-19 serta tetap memadainya pasokan barang dan lancarnya rantai distribusi, seperti tergambar pada dinamika komponen inflasi. Inflasi inti menurun dipengaruhi konsistennya Bank Indonesia dalam mengarahkan ekspektasi inflasi sesuai target dan melambatnya permintaan domestik. Kelompok volatile food mencatat deflasi terutama dipengaruhi oleh koreksi harga di beberapa komoditas akibat melambatnya permintaan serta memadainya pasokan . Sementara itu, kelompok administered prices juga mencatat deflasi terutama didorong oleh berlanjutnya koreksi tarif angkutan udara. Dengan perkembangan tersebut, secara tahunan inflasi IHK April 2020 tercatat 2,67% (yoy), menurun dibandingkan dengan inflasi bulan lalu sebesar 2,96% (yoy). Ke depan, Bank Indonesia terus konsisten menjaga stabilitas harga dan memperkuat koordinasi kebijakan dengan Pemerintah, baik di tingkat pusat maupun daerah, untuk mengendalikan inflasi tetap rendah dan stabil dalam sasarannya sebesar 3,0%±1% pada 2020 dan 2021. Koordinasi dengan Pemerintah tersebut termasuk dalam mengendalikan inflasi pada bulan Ramadhan dan hari raya Idul Fitri 1441 H</t>
  </si>
  <si>
    <t>S070</t>
  </si>
  <si>
    <t>Money supply</t>
  </si>
  <si>
    <t>Kondisi likuiditas perbankan tetap memadai dan mendukung berlanjutnya. penurunan suku bunga. Likuiditas perbankan yang memadai tercermin pada rerata harian volume PUAB April 2020 yang tetap tinggi yakni Rp9,2 triliun serta rasio Alat Likuid terhadap Dana Pihak Ketiga (AL/DPK) yang tetap besar yakni 24,16% pada Maret 2020. Perkembangan ini berdampak positif pada penurunan suku bunga. Pada April 202 0 , rata-rata suku bunga PUAB O/N dan suku bunga JIBOR tenor 1 minggu bergerak stabil di sekitar level BI7DRR yakni 4,3 1 % dan 4,60%. Rerata tertimbang suku bunga deposito dan kredit masing-masing tercatat 5,92% dan 10,17%, menurun masing-masing 11bps dan 19bps dari level Maret 2020. Perkembangan kondusif ini dipengaruhi strategi Bank Indonesia dalam menjaga kecukupan likuitas. Sejak awal 2020, Bank Indonesia telah melakukan injeksi likuiditas ke pasar uang dan perbankan hingga mencapai Rp583,5 triliun antara lain melalui pembelian SBN dari pasar sekunder, penyediaan likuiditas perbankan melalui transaksi term-repo SBN, swap valas, serta penurunan GWM Rupiah. Penurunan suku bunga tersebut berdampak pada kenaikan pertumbuhan besaran moneter M1 dan M2 pada Maret 2020 yang masing-masing menjadi 15,6% (yoy) dan 12,1% (yoy). Bank Indonesia akan terus memastikan kecukupan likuiditas di pasar uang dan perbankan dalam mendukung program Pemulihan Ekonomi Nasional, khususnya dalam rangka restrukturisasi kredit perbankan</t>
  </si>
  <si>
    <t>S071</t>
  </si>
  <si>
    <t>Neraca Pembayaran Indonesia (NPI) pada triwulan III-2011 diprakirakan mengalami surplus yang lebih rendah dari triwulan sebelumnya. Impor diperkirakan akan terus terakselerasi seiring dengan kegiatan ekonomi domestik yang meningkat, sehingga tekanan terhadap transaksi berjalan cenderung meningkat. Namun, hal tersebut masih dapat diimbangi oleh surplus transaksi modal dan finansial, meskipun sempat mengalami tekanan akibat perkembangan situasi global. Sejalan dengan itu, cadangan devisa pada akhir Agustus 2011 tercatat sebesar 124,6 miliar dolar AS, atau setara dengan 7,1 bulan impor dan pembayaran utang luar negeri Pemerintah</t>
  </si>
  <si>
    <t>S072</t>
  </si>
  <si>
    <t>Ekspektasi inflasi masih tinggi meskipun i. nflasi Indeks Harga Konsumen (IHK) lebih rendah dari prakiraan awal. Inflasi IHK pada Oktober 2022 tercatat sebesar 5,71% (yoy), masih di atas sasaran 3,0±1%, meskipun lebih rendah dari prakiraan dan inflasi bulan sebelumnya sebesar 5,95% (yoy). Inflasi kelompok volatile food turun menjadi 7,19% (yoy) dan perlu penguatan sinergi dan koordinasi kebijakan yang erat melalui TPIP-TPID dan GNPIP untuk penurunan lebih lanjut. Inflasi administered prices tercatat sebesar 13,28% (yoy) dan perlu penguatan koordinasi untuk memitigasi dampak lanjutan dari penyesuaian harga BBM dan tarif angkutan agar lebih rendah. Sementara itu, inflasi inti tercatat sebesar 3,31% (yoy), lebih tinggi dari bulan sebelumnya sejalan dengan dampak rambatan dari penyesuaian harga BBM dan meningkatnya ekspektasi inflasi. Consensus Forecast bulan November 2022 menunjukkan ekspektasi inflasi pada akhir 2022 masih tinggi yaitu 5,9%(yoy) meskipun lebih rendah dari bulan sebelumnya 6,7%(yoy). Dengan perkembangan tersebut, Bank Indonesia akan memperkuat respons kebijakan moneter untuk menurunkan ekspektasi inflasi yang saat ini masih tinggi dan memastikan inflasi inti ke depan kembali ke dalam sasaran 3,0±1% lebih awal yaitu ke paruh pertama 2023</t>
  </si>
  <si>
    <t>S073</t>
  </si>
  <si>
    <t>Rapat Dewan Gubernur (RDG) Bank Indonesia pada 22-23 April 2025 memutuskan untuk mempertahankan BI-Rate sebesar 5,75%, suku bunga. Deposit Facility sebesar 5,00%, dan suku bunga Lending Facility sebesar 6,50%. Keputusan ini konsisten dengan upaya menjaga prakiraan inflasi 2025 dan 2026 tetap terkendali dalam sasaran 2,5±1%, mempertahankan stabilitas nilai tukar Rupiah yang sesuai dengan fundamental di tengah makin meningkatnya ketidakpastian global, serta untuk turut mendukung pertumbuhan ekonomi. Ke depan, Bank Indonesia terus mencermati ruang penurunan BI-Rate lebih lanjut dengan mempertimbangkan stabilitas nilai tukar Rupiah, prospek inflasi, dan perlunya mendorong pertumbuhan ekonomi. Sementara itu, kebijakan makroprudensial dan sistem pembayaran terus dioptimalkan untuk mendukung pertumbuhan ekonomi yang berkelanjutan. Kebijakan Insentif Likuiditas Makroprudensial (KLM) telah diperkuat pada 1 April 2025 untuk lebih mendorong kredit/pembiayaan perbankan kepada sektor-sektor prioritas yang mendukung pertumbuhan dan penciptaan lapangan kerja sejalan dengan program Asta Cita Pemerintah. Kebijakan sistem pembayaran juga diarahkan untuk turut menopang pertumbuhan ekonomi, khususnya sektor perdagangan dan UMKM. Keandalan infrastruktur dan struktur industri sistem pembayaran akan terus diperkuat, demikian pula akseptasi pembayaran digital akan terus diperluas Arah bauran kebijakan moneter, makroprudensial, dan sistem pembayaran untuk menjaga stabilitas dalam rangka memperkuat pertumbuhan ekonomi yang berkelanjutan tersebut didukung dengan langkah-langkah kebijakan sebagai berikut: Penguatan akseptasi digital dengan: (i) implementasi strategi pencapaian target QRIS, baik dari sisi supply maupun demand dan (ii) edukasi QRIS Antarnegara kepada merchant dan pengguna di berbagai destinasi pariwisata, (iii) perluasan implementasi Standar Nasional Open API Pembayaran (SNAP) untuk integrasi layanan pembayaran industri, serta (iv) penguatan stabilitas infrastruktur pembayaran dan pengawasan terhadap Penyedia Jasa Pembayaran (PJP) dan lembaga pendukung.​ Bank Indonesia juga terus memperkuat sinergi kebijakan dengan Pemerintah untuk menjaga stabilitas dan mendorong pertumbuhan ekonomi sejalan dengan program Asta Cita Pemerintah. Sinergi dilakukan dalam 7 (tujuh) area kebijakan, yakni (i) kebijakan stabilisasi nilai tukar Rupiah dalam memitigasi gejolak global, (ii) koordinasi kebijakan moneter dan fiskal, (iii) upaya mendorong pembiayaan ekonomi melalui KLM, (iv) dukungan dalam mengakselerasi transformasi digital Pemerintah, (v) upaya memperkuat hilirisasi dan ketahanan pangan, (vi) dukungan dalam mendorong pengembangan ekonomi hijau, syariah, dan inklusi, serta (vii) dukungan dalam pembangunan sumber daya manusia. Selain itu, Bank Indonesia terus mempererat sinergi kebijakan dengan Komite Stabilitas Sistem Keuangan (KSSK) untuk menjaga stabilitas sistem keuangan. Bank Indonesia juga memperkuat dan memperluas kerja sama internasional di area kebanksentralan, termasuk konektivitas sistem pembayaran dan transaksi menggunakan mata uang lokal, serta memfasilitasi penyelenggaraan promosi investasi dan perdagangan di sektor prioritas bekerja sama dengan instansi terkait</t>
  </si>
  <si>
    <t>S074</t>
  </si>
  <si>
    <t>Stabilitas sistem keuangan tetap terjaga pada Mei 2018 disertai intermediasi perbankan yang membaik dan pembiayaan nonbank yang positif. Stabilitas sistem keuangan yang terjaga tercermin pada rasio kecukupan modal ( Capital Adequacy Ratio /CAR) perbankan yang tinggi mencapai 22,1% dan rasio likuiditas (AL/DPK) yang masih aman yaitu sebesar 20,3% pada Mei 2018. Selain itu, rasio kredit bermasalah (Non Performing Loan/NPL) tetap rendah yaitu sebesar 2,79% (gross) atau 1,28% (net). Stabilitas sistem keuangan yang terjaga berkontribusi positif pada perbaikan fungsi intermediasi perbankan. Pertumbuhan Dana Pihak Ketiga (DPK) pada Mei 2018 tercatat 6,5% (yoy), turun dibandingkan dengan pertumbuhan bulan sebelumnya yang mencapai 8,1% (yoy). Penurunan DPK diyakini tidak akan menghambat pertumbuhan kredit mengingat likuiditas perbankan masih baik dan mampu mendukung pembiayaan pembangunan. Pertumbuhan kredit pada Mei 2018 tercatat sebesar 10,3% (yoy), lebih tinggi dibandingkan dengan pertumbuhan bulan sebelumnya sebesar 8,9% (yoy). Dari nonbank, pembiayaan ekonomi melalui pasar modal, seperti penerbitan saham (IPO dan rights issue ), obligasi korporasi, Medium Term Notes (MTN), dan Negotiable Certificate of Deposit (NCD) meningkat 60,2% (yoy) pada Mei 2018. Dengan perbaikan ekonomi dan kemajuan konsolidasi korporasi dan perbankan, Bank Indonesia memprakirakan pertumbuhan Kredit dan DPK akan lebih baik pada 2018, masing-masing dalam kisaran 10,0-12,0% (yoy) dan 9,0-11,0% (yoy). Peningkatan intermediasi perbankan didukung pula oleh relaksasi kebijakan makroprudensial yang dilakukan Bank Indonesia melalui pelonggaran kebijakan Loan to Value (LTV) serta implementasi kebijakan Rasio Intermediasi Makroprudensial (RIM), Penyangga Likuiditas Makroprudensial (PLM) dan Giro Wajib Minimum (GWM) Rata-rata Jakarta, 19 Juli 2018 Departemen Komunikasi Agusman Direktur Eksekutif</t>
  </si>
  <si>
    <t>S075</t>
  </si>
  <si>
    <t>Bank Indonesia menilai ekonomi global pada November 2013 cenderung membaik sesuai prakiraan, meskipun beberapa ketidakpastian perlu terus mendapat perhatian. Perekonomian negara-negara maju seperti AS, Eropa dan Jepang mengindikasikan perkembangan yang positif. Perbaikan juga ditunjukkan oleh indikator ekonomi negara-negara emerging markets, seperti China dan India. Namun demikian, Bank Indonesia terus mencermati kecenderungan pergeseran pola perkembangan ekonomi global, yang ditandai melambatnya ekonomi negara berkembang dan menguatnya ekonomi negara maju, serta prakiraan berakhirnya siklus peningkatan harga komoditas dunia. Bank Indonesia juga tetap mewaspadai rencana tapering-off the Fed dan akan memperkuat respons kebijakan yang telah ditempuh selama ini. Pergeseran pola ekonomi dan keuangan global tersebut perlu dicermati karena dapat memberi tekanan kepada kinerja sektor eksternal ekonomi Indonesia, baik melalui jalur perdagangan maupun jalur finansial</t>
  </si>
  <si>
    <t>S076</t>
  </si>
  <si>
    <t>Prospek perekonomian global dalam tren melambat dengan ketidakpastian pasar keuangan yang tetap tinggi. Pertumbuhan ekonomi dunia 2026 diprakirakan melambat dari 3,3% pada 2025 menjadi 3,2% dan dibarengi dengan divergensi pertumbuhan antarnegara. Prospek perlambatan pertumbuhan ekonomi global terutama dipengaruhi oleh dampak tarif resiprokal Amerika Serikat (AS) dan berlanjutnya tensi geopolitik, kecuali AS yang diprakirakan meningkat dipengaruhi oleh besarnya stimulus fiskal dan tingginya investasi, termasuk investasi terkait artificial intelligence (AI). Ekonomi Eropa dan Jepang diprakirakan melambat dipengaruhi oleh kinerja ekspor yang turun sejalan dengan perlambatan ekonomi global serta permintaan domestik yang belum kuat di tengah pengaruh investasi AI yang meningkat. Ekonomi Tiongkok tetap dalam tren melambat akibat konsumsi rumah tangga yang belum kuat, sementara ekonomi India juga belum kuat dengan menurunnya permintaan domestik dan kinerja sektor eksternal. Dari pasar keuangan global, ruang penurunan Fed Funds Rate (FFR) tetap terbuka seiring pasar tenaga kerja yang masih lemah. Yield UST terutama tenor panjang tetap tinggi sejalan dengan peningkatan risiko fiskal AS. Perkembangan ini mendorong aliran modal ke negara berkembang terjadi secara selektif, terutama ke saham dan obligasi jangka pendek. Indeks mata uang dolar AS terhadap mata uang negara maju (DXY) melemah di tengah kenaikan permintaan terhadap safe haven assets yang mendorong kenaikan harga emas. Ke depan, ketidakpastian perekonomian global diprakirakan tetap tinggi sehingga memerlukan kewaspadaan dan penguatan respons kebijakan untuk menjaga daya tahan ekonomi domestik dari rambatan global serta mendorong pertumbuhan yang lebih tinggi</t>
  </si>
  <si>
    <t>S077</t>
  </si>
  <si>
    <t>Pertumbuhan ekonomi Indonesia perlu makin ditingkatkan agar sesuai dengan kapasitas perekonomian. Pada triwulan III 2025, sejumlah indikator menunjukkan konsumsi rumah tangga masih belum kuat dipengaruhi oleh menurunnya ekspektasi konsumen khususnya pada kelompok menengah ke bawah serta terbatasnya ketersediaan lapangan kerja. Investasi juga perlu terus diperkuat melalui percepatan realisasi berbagai program prioritas Pemerintah, termasuk pengembangan Kawasan Ekonomi Khusus (KEK) di berbagai daerah. Sementara itu, ekspor diprakirakan lebih baik ditopang oleh kenaikan ekspor produk pertanian dan manufaktur, khususnya komoditas minyak kelapa sawit (CPO) ke India seiring penurunan bea impor. Bank Indonesia akan terus memperkuat sinergi dengan kebijakan stimulus fiskal dan sektor riil Pemerintah untuk mendorong pertumbuhan ekonomi dengan tetap menjaga stabilitas perekonomian. Dari sisi fiskal, belanja Pemerintah diprakirakan akan meningkat di semester II 2025 sejalan dengan implementasi proyek prioritas Pemerintah terkait program ketahanan pangan, energi, pertahanan dan keamanan, serta Paket Kebijakan Ekonomi Pemerintah 2025. Bank Indonesia terus memperkuat bauran kebijakan moneter, makroprudensial, dan sistem pembayaran untuk mendorong pertumbuhan ekonomi melalui penurunan suku bunga, pelonggaran likuiditas, peningkatan insentif makroprudensial, serta percepatan digitalisasi ekonomi dan keuangan. Dengan penguatan sinergi kebijakan Bank Indonesia dan Pemerintah tersebut, pertumbuhan ekonomi semester II 2025 diprakirakan membaik sehingga secara keseluruhan tahun 2025 akan berada di atas titik tengah kisaran 4,6–5,4%</t>
  </si>
  <si>
    <t>S078</t>
  </si>
  <si>
    <t>Tekanan depresiasi terhadap nilai tukar rupiah meningkat pada bulan Juni 2014. Rupiah secara rata-rata melemah 3,03% (mtm) dari bulan sebelumnya menjadi Rp11.892 per dolar AS. Secara point to point (ptp), rupiah terdepresiasi sebesar 1,52% dan ditutup pada level Rp11.855 per dolar AS. Di samping berlanjutnya ketidakpastian pasar keuangan global dan defisit neraca perdagangan pada bulan April 2014, pergerakan nilai tukar dipengaruhi oleh perilaku investor yang menunggu hasil Pemilihan Umum Presiden 2014. Ke depan, Bank Indonesia akan terus menjaga stabilitas nilai tukar rupiah sesuai dengan kondisi fundamentalnya</t>
  </si>
  <si>
    <t>S079</t>
  </si>
  <si>
    <t>Rapat Dewan Gubernur (RDG) Bank Indonesia pada tanggal 12 Juni 2012 memutuskan untuk mempertahankan BI Rate sebesar 5,75%. Tingkat suku bunga tersebut dinilai masih konsisten dengan prakiraan inflasi ke depan yang tetap rendah dan terkendali di dalam kisaran sasaran yang ditetapkan, yaitu 4,5% ± 1% pada tahun 2012 dan 2013. Untuk mengelola tekanan pelemahan nilai tukar dari memburuknya krisis di Eropa dan sentimen negatif pasar keuangan global, Bank Indonesia mendorong peningkatan pasokan valuta asing ke pasar agar pergerakan Rupiah tetap sejalan dengan pergerakan nilai tukar kawasan Asia dan kondisi fundamental perekonomian Indonesia. Di samping menjaga kecukupan likuiditas baik di pasar Rupiah maupun pasar valuta asing, Bank Indonesia juga memperkuat operasi moneter dan pendalaman pasar keuangan, termasuk melalui pengembangan instrumen moneter valuta asing</t>
  </si>
  <si>
    <t>S080</t>
  </si>
  <si>
    <t>Nilai tukar Rupiah tetap terkendali sesuai nilai fundamental didukung kinerja Neraca Pembayaran Indonesia yang tetap baik. Pada 19 Februari 2020, Rupiah secara rerata menguat 0,27% dibandingkan dengan rerata level Januari 2020, meskipun secara point to point harian melemah sebesar 0,24% dibandingkan dengan level akhir bulan Januari 2020. Pelemahan Rupiah pada awal Februari 2020 terutama dipicu sentimen terhadap Covid-19, meskipun dalam perkembangan berikutnya kembali stabil ditopang pasokan valas eksportir dan aliran masuk modal asing. Rupiah yang menguat juga terlihat pada Januari 2020 yang secara rerata mencatat apresiasi 2,13% dibandingkan dengan rerata level Desember 2019. Ke depan, Bank Indonesia memandang nilai tukar Rupiah tetap stabil sesuai dengan fundamentalnya dan mekanisme pasar yang terjaga. Untuk mendukung efektivitas kebijakan nilai tukar dan memperkuat pembiayaan domestik, Bank Indonesia terus mengakselerasi pendalaman pasar keuangan, baik pasar uang maupun pasar valas</t>
  </si>
  <si>
    <t>S081</t>
  </si>
  <si>
    <t>Sistem keuangan tetap stabil dengan ketahanan sistem perbankan yang terjaga didukung permodalan yang kuat dan likuiditas yang memadai. Pada akhir Triwulan II 2016, rasio kecukupan modal (Capital Adequacy Ratio/CAR) tercatat sebesar 22,3% dan rasio Alat Likuid terhadap Dana Pihak Ketiga (AL/DPK) berada pada level 20,3%, sementara rasio kredit bermasalah (Non Performing Loan/NPL) berada di kisaran 3,1% (gross) atau 1,5% (net). Transmisi pelonggaran kebijakan moneter melalui jalur suku bunga terus berlangsung, tercermin dari berlanjutnya penurunan suku bunga deposito dan suku bunga kredit. Sementara itu, transmisi melalui jalur kredit belum optimal, terlihat dari pertumbuhan kredit yang masih terbatas. Pertumbuhan kredit tercatat sebesar 8,9% (yoy), meningkat dari pertumbuhan triwulan sebelumnya sebesar 8,7% (yoy). Sementara itu, pertumbuhan Dana Pihak Ketiga (DPK) pada akhir triwulan II 2016 tercatat sebesar 5,9% (yoy), menurun dibandingkan dengan pertumbuhan triwulan sebelumnya sebesar 6,4% (yoy). Bank Indonesia meyakini pelonggaran kebijakan moneter dan makroprudensial yang dilakukan serta implementasi UU Pengampunan Pajak dapat meningkatkan pertumbuhan kredit guna mendorong pertumbuhan ekonomi ke depan Jakarta, 19 Agustus 2016 Departemen Komunikasi Tirta Segara Kepala Departemen ___________________________________________ 1 Terhitung mulai hari ini (19/8), BI Rate bukan lagi Suku Bunga Kebijakan Moneter (Policy Rate) Bank Indonesia. Detil penjelasan kerangka operasi moneter terlampir</t>
  </si>
  <si>
    <t>S082</t>
  </si>
  <si>
    <t>Suku bunga kebijakan moneter yang tetap rendah dan likuiditas yang. sangat longgar mendorong suku bunga kredit perbankan terus dalam tren menurun . Di pasar uang dan pasar dana, suku bunga PUAB overnight dan suku bunga deposito 1 bulan perbankan telah menurun, masing-masing sebesar 25 bps dan 145 bps sejak November 2020 menjadi 2,79% dan 3,05% pada November 2021. Di pasar kredit, penurunan SBDK perbankan terus berlanjut, diikuti penurunan suku bunga kredit baru pada seluruh kelompok Bank, kecuali BPD. Aktivitas ekonomi dan mobilitas masyarakat yang meningkat mendorong perbaikan persepsi risiko perbankan, sehingga berdampak positif bagi penurunan suku bunga kredit baru. Namun demikian, penurunan suku bunga kredit yang jauh lebih rendah daripada penurunan suku bunga deposito perbankan menyebabkan spread antara suku bunga kredit dan deposito tersebut terus melebar dan Net Interest Margin (NIM) perbankan terus mengalami peningkatan. Oleh sebab itu, Bank Indonesia memandang bahwa ruang bagi perbankan untuk menurunkan suku bunga kredit masih cukup lebar</t>
  </si>
  <si>
    <t>S083</t>
  </si>
  <si>
    <t>Rapat Dewan Gubernur (RDG) Bank Indonesia pada 20-21 April 2016 memutuskan untuk mempertahankan BI Rate sebesar 6,75%, dengan suku bunga Deposit Facility sebesar 4,75% dan Lending Facility sebesar 7,25%. BI Rate tersebut setara dengan suku bunga operasi moneter tenor 12 bulan. Sejalan dengan rencana reformulasi suku bunga kebijakan yang diumumkan pada tanggal 15 April 2016, Bank Indonesia juga mengumumkan BI 7-day (Reverse) Repo Rate tetap sebesar 5,5%. Dengan demikian, struktur suku bunga atau term structure operasi moneter Bank Indonesia adalah sebagai berikut Keputusan tersebut sejalan dengan upaya untuk mencapai sasaran inflasi 2016 sebesar 4±1% dan tetap konsisten dengan upaya mendorong momentum pemulihan ekonomi domestik, di tengah masih lemahnya pertumbuhan ekonomi global. Bank Indonesia akan melanjutkan upaya penguatan kerangka operasi moneter melalui penerapan struktur suku bunga operasi moneter secara konsisten. Bank Indonesia juga akan terus memperkuat koordinasi kebijakan bersama Pemerintah untuk memastikan pengendalian inflasi, penguatan stimulus pertumbuhan, dan pelaksanaan reformasi struktural berjalan dengan baik, sehingga mampu menopang pertumbuhan ekonomi yang berkelanjutan</t>
  </si>
  <si>
    <t>S084</t>
  </si>
  <si>
    <t>Kinerja perbankan relatif tetap baik dengan pelaksanaan fungsi intermediasi yang terus meningkat. Kredit perbankan Februari 2008 naik Rp 14,8 triliun (1,4%) sehingga menjadi Rp 1.045,9 triliun. DPK pada Februari 2008 juga naik 0,2% dari Rp 1.471,2 triliun (Jan 2008) menjadi Rp 1.474,5 triliun (Feb 2008). Kenaikan kredit yang lebih besar dari kenaikan DPK pada bulan ini menyebabkan rasio LDR perbankan naik dari 70,1% (Jan 2008) menjadi 70,9% pada Februari 2008. Meski terjadi peningkatan LDR, rasio NPL perbankan masih dapat dijaga pada level dibawah 5% yaitu 4,78 (gross) dan 2,0% (net)</t>
  </si>
  <si>
    <t>S085</t>
  </si>
  <si>
    <t>Macroprudential</t>
  </si>
  <si>
    <t>Penguatan Kebijakan Insentif Likuiditas Makroprudensial (KLM) dan akselerasi digitalisasi sistem pembayaran terus ditempuh untuk mendorong pertumbuhan ekonomi. Implementasi penguatan KLM yang berlaku pada 16 Desember 2025 diarahkan untuk mempercepat penurunan suku bunga kredit/pembiayaan perbankan, melalui peningkatan besaran insentif bagi bank yang lebih cepat menurunkan suku bunga kredit baru sejalan dengan penurunan suku bunga kebijakan Bank Indonesia. Hingga minggu pertama Januari 2026, total insentif KLM mencapai Rp397,9 triliun, yang disalurkan kepada kelompok bank BUMN sebesar Rp182,9 triliun, BUSN sebesar Rp174,7 triliun, BPD sebesar Rp33,1 triliun, dan KCBA sebesar Rp7,2 triliun. Secara sektoral, insentif KLM disalurkan kepada sektor-sektor prioritas yang mencakup sektor Pertanian, Industri, dan Hilirisasi, sektor Jasa termasuk Ekonomi Kreatif, sektor Konstruksi, Real Estate, dan Perumahan, serta sektor UMKM, Koperasi, Inklusi, dan Berkelanjutan</t>
  </si>
  <si>
    <t>S086</t>
  </si>
  <si>
    <t>Menyikapi berbagai tantangan dan faktor risiko tersebut, Bank Indonesia juga akan tetap melaksanakan kebijakan moneter secara terukur dan hati-hati dengan terus mencermati berbagai dinamika perekonomian untuk menjaga stabilitas makroekonomi guna mendukung kesinambungan pertumbuhan ekonomi. Bank Indonesia juga akan terus melanjutkan program konsolidasi untuk mewujudkan perbankan yang sehat, kuat dan kompetitif. Disamping itu, upaya meningkatkan fungsi intermediasi perbankan terus dilakukan agar dapat memenuhi kebutuhan pembiayaan bagi dunia usaha secara efektif</t>
  </si>
  <si>
    <t>S087</t>
  </si>
  <si>
    <t>Stabilitas sistem keuangan masih terjaga didukung oleh kondisi sektor perbankan yang tetap kuat. Dewan Gubernur memandang bahwa terjaganya stabilitas sektor keuangan didukung oleh kondisi sector perbankan yang tetap kuat dalam menghadapi berbagai risiko, serta membaiknya fungsi intermediasi perbankan. Hal ini antara lain ditunjukkan oleh tingginya rasio kecukupan modal (CAR/Capital Adequacy Ratio) perbankan saat ini yang mencapai 17,4% dan terjaganya rasio kredit bermasalah (NPL/Non Performing Loan) gross di bawah 5,0%. Peningkatan fungsi intermediasi perbankan tercermin pada angka pertumbuhan kredit yang sampai dengan akhir Juli 2010 tumbuh sebesar 19,6% (yoy). Ke depan, Dewan Gubernur akan terus mencermati pertumbuhan kredit perbankan tersebut agar tetap dalam koridor pencapaian rencana pemberian kredit sesuai Rencana Bisnis Bank (RBB) terutama kredit untuk tujuan produktif, dan sejalan dengan peningkatan di sisi suplai perekonomian. Hal ini ditempuh untuk memastikan agar peningkatan di sisi permintaan dapat diimbangi sisi penawaran secara memadai sehingga tidak menimbulkan tekanan inflasi yang berlebihan</t>
  </si>
  <si>
    <t>S088</t>
  </si>
  <si>
    <t>Stabilitas sistem keuangan tetap terjaga, meskipun potensi risiko dari makin meluasnya dampak penyebaran virus COVID-19 terhadap stabilitas makroekonomi dan sistem keuangan perlu terus diantisipasi. Stabilitas sistem keuangan terjaga tercermin dari rasio kecukupan modal ( Capital Adequacy Ratio /CAR) perbankan Februari 2020 yang tinggi yakni 22,27%, dan rasio kredit bermasalah ( Non Performing Loan /NPL) yang tetap rendah yakni 2,79% ( gross ) dan 1,04% (net). Melemahnya perekonomian domestik dan meningkatnya ketidakpastian ekonomi sebagai dampak penyebaran COVID-19, menyebabkan lemahnya permintaan kredit dan meningkatnya kehati-hatian perbankan dalam menyalurkan kredit. Ke depan, kebijakan makroprudensial Bank Indonesia akan difokuskan pada upaya menjaga stabilitas sistem keuangan dengan mengantisipasi potensi peningkatan risiko pada sektor keuangan yang terpengaruh dampak penyebaran COVID-19. Koordinasi dengan otoritas keuangan dan kementerian/lembaga terkait juga senantiasa ditingkatkan, baik dalam rangka perumusan bauran kebijakan, maupun dalam rangka mitigasi peningkatan risiko di sistem keuangan</t>
  </si>
  <si>
    <t>S089</t>
  </si>
  <si>
    <t>Bank Indonesia juga menempuh kebijakan makroprudensial. yang akomodatif melalui relaksasi Loan to Value Ratio (LTV) guna menjaga momentum pemulihan ekonomi dan stabilitas sistem keuangan dengan tetap memperhatikan aspek kehati-hatian dan perlindungan konsumen . Kebijakan diterapkan pada sektor properti dan berlaku 1 Agustus 2018 melalui beberapa aspek yakni (i) pelonggaran rasio LTV untuk kredit properti dan rasio FTV untuk pembiayaan properti, (ii) pelonggaran jumlah fasilitas kredit atau pembiayaan melalui mekanisme inden, serta (iii) penyesuaian pengaturan tahapan dan besaran pencairan kredit/pembiayaan. Kebijakan diharapkan dapat mendukung kinerja sektor properti yang saat ini masih memiliki potensi akselerasi dan dampak pengganda cukup besar terhadap perekonomian nasional (Lampiran 1) . Kebijakan makroprudensial ini memperkuat kebijakan makroprudensial sebelumnya terkait Rasio Intermediasi Makroprudensial (RIM) dan Penyangga Likuiditas Makroprudensial (PLM), yang bertujuan untuk mendorong fungsi intermediasi perbankan dan memperkuat manajemen likuiditas perbankan. Kebijakan makroprudensial juga bersinergi dengan kebijakan Giro Wajib Minimum (GWM) Rata-rata Rupiah sebagai bagian dari reformulasi kerangka operasional kebijakan moneter, yang juga bertujuan untuk meningkatkan fleksibilitas pengelolaan likuiditas perbankan dan mendorong fungsi intermediasi perbankan, serta untuk mendukung upaya pendalaman pasar keuangan. Ketiga kebijakan tersebut akan berlaku mulai 16 Juli 2018 untuk perbankan konvensional dan mulai 1 Oktober 2018 untuk perbankan syariah (Lampiran 2 dan 3)</t>
  </si>
  <si>
    <t>S090</t>
  </si>
  <si>
    <t>Kondisi likuiditas. yang tetap longgar sejalan dengan dampak sinergi kebijakan Bank Indonesia dengan Pemerintah dalam mendukung pemulihan ekonomi nasional. Bank Indonesia telah menambah likuiditas ( quantitative easing ) di perbankan sebesar Rp10,34 triliun pada tahun 2022 (hingga 8 Februari 2022). Bank Indonesia melanjutkan pembelian SBN di pasar perdana untuk pendanaan APBN 2022 sebesar Rp3,56 triliun (hingga 8 Februari 2022) melalui mekanisme lelang utama sesuai dengan Keputusan Bersama Menteri Keuangan dan Gubernur Bank Indonesia yang berlaku hingga 31 Desember 2022. Kondisi likuiditas perbankan bulan Desember 2021 tetap longgar, tercermin pada rasio Alat Likuid terhadap Dana Pihak Ketiga (AL/DPK) yang tinggi mencapai 35,12% serta Dana Pihak Ketiga (DPK) yang tumbuh sebesar 12,21% (yoy). Likuiditas perekonomian meningkat, tercermin pada uang beredar dalam arti sempit (M1) dan luas (M2) pada Desember 2021 yang tumbuh meningkat masing-masing sebesar 17,9% (yoy) dan 13,9% (yoy). Pertumbuhan uang beredar tersebut terutama didukung oleh berlanjutnya ekspansi fiskal dan peningkatan kredit perbankan S uku bunga perbankan terus mengalami penurunan didukung oleh s uku bunga kebijakan moneter yang tetap rendah , likuiditas yang longgar dan persepsi risiko yang membaik . Di pasar uang dan pasar dana, suku bunga PUAB overnight dan suku bunga deposito 1 bulan perbankan telah menurun, masing-masing sebesar 25 bps dan 131 bps sejak Desember 2020 menjadi 2,79% dan 2,96% pada Desember 2021. Di pasar kredit, suku bunga kredit baru melanjutkan tren penurunan sejalan dengan penurunan Harga Pokok Dana untuk Kredit dan perbaikan persepsi risiko perbankan, di tengah aktivitas ekonomi dan mobilitas masyarakat yang meningkat. Bank Indonesia memandang peran perbankan dalam penyaluran kredit/pembiayaan termasuk melalui penurunan suku bunga kredit dapat ditingkatkan guna semakin mendorong pemulihan ekonomi nasional</t>
  </si>
  <si>
    <t>S091</t>
  </si>
  <si>
    <t>Tren apresiasi nilai tukar Rupiah masih berlanjut, meskipun pada tingkat yang lebih terbatas, sejalan dengan berlanjutnya aliran masuk modal asing. Pada bulan Mei 2011, nilai tukar Rupiah menguat 0,33% (ptp) ke level Rp 8.536 per dolar AS dengan volatilitas yang tetap terjaga. Tren apresiasi nilai tukar Rupiah tersebut sejalan dengan upaya Bank Indonesia untuk meredam tekanan inflasi, khususnya dari imported inflation, dengan tetap mempertimbangkan dampaknya terhadap pertumbuhan ekonomi. Bank Indonesia memandang bahwa penguatan Rupiah yang sejalan dengan tren apresiasi mata uang di kawasan Asia tersebut sejauh ini tidak memberikan tekanan pada kinerja ekspor, seperti terlihat pada tetap kuatnya pertumbuhan ekspor sejalan dengan masih tingginya harga komoditas internasional dan kuatnya permintaan luar negeri</t>
  </si>
  <si>
    <t>S092</t>
  </si>
  <si>
    <t>Stabilitas sistem keuangan tetap terjaga, meskipun fungsi intermediasi perbankan terus menjadi perhatian. Stabilitas sistem keuangan terjaga tercermin dari rasio kecukupan modal ( Capital Adequacy Ratio /CAR) perbankan Desember 2019 yang tinggi yakni 23,31%, dan rasio kredit bermasalah ( Non Performing Loan /NPL) yang tetap rendah yakni 2,53% ( gross ) atau 1,18% (net). Sementara itu, pertumbuhan kredit masih belum kuat, tercermin dari angka pertumbuhan kredit pada Desember 2019 sebesar 6,08% (yoy), yang menurun dari 7,05% (yoy) pada November 2019. Pertumbuhan Dana Pihak Ketiga (DPK) juga belum kuat dan tercatat sedikit menurun dari sebesar 6,72% (yoy) pada November 2019 menjadi 6,54% (yoy) pada Desember 2019. Ke depan, fungsi intermediasi akan terus didorong sehingga dapat menopang momentum pertumbuhan ekonomi. Kredit pada 2020 diprakirakan tumbuh dalam kisaran 9-11% sedikit lebih rendah dibandingkan proyeksi sebelumnya pada kisaran 10-12% sejalan dengan revisi proyeksi pertumbuhan ekonomi 2020. Pertumbuhan kredit 2021 diprakirakan kembali meningkat pada kisaran 10-12% didorong oleh kenaikan pertumbuhan ekonomi. Sementara itu, DPK pada 2020 dan 2021 diprakirakan tumbuh dalam kisaran 8-10%. Bank Indonesia tetap menempuh kebijakan makroprudensial yang akomodatif dan memperkuat koordinasi dengan otoritas terkait sehingga dapat tetap menjaga stabilitas sistem keuangan dan mendorong fungsi intermediasi perbankan</t>
  </si>
  <si>
    <t>S093</t>
  </si>
  <si>
    <t>Bank Indonesia akan tetap melaksanakan kebijakan moneter secara terukur dan hati-hati dalam mencermati dinamika perekonomian. Bank Indonesia juga akan senantiasa mendukung upaya Pemerintah didalam menggerakkan ekonomi domestik, khususnya dalam menyelesaikan masalah-masalah bangsa seperti pengangguran dan kemiskinan</t>
  </si>
  <si>
    <t>S094</t>
  </si>
  <si>
    <t>Kedepan, perekonomian Indonesia pada tahun 2009 diproyeksikan tumbuh lebih baik dari perkiraan semula dengan laju inflasi yang terus menurun. Bank Indonesia memperkirakan perekonomian Indonesia tahun 2009 diperkirakan tumbuh mencapai batas atas kisaran 3,5%-4,0%. Pertumbuhan ekonomi nasional pada semester II-2009 tetap didukung oleh permintaan domestik, terutama konsumsi, bersamaan dengan rendahnya inflasi. Sementara itu, inflasi pada 2009 diproyeksikan lebih rendah dari perkiraan sebelumnya bahkan berpotensi dibawah 5%, antara lain seiring dengan membaiknya ekspektasi inflasi dan terjaganya pasokan dan distribusi bahan makanan</t>
  </si>
  <si>
    <t>S095</t>
  </si>
  <si>
    <t>Nilai tukar Rupiah menguat sejalan dengan kebijakan stabilisasi yang ditempuh Bank. Indonesia. Nilai tukar Rupiah pada triwulan II 2023 berada dalam tren menguat, dimana sampai 24 Mei 2023 menguat 0,63% secara point to point dibandingkan dengan level akhir triwulan I 2023, didorong kuatnya aliran masuk modal asing di investasi portofolio. Secara year to date , nilai tukar Rupiah juga menguat 4,48% dari level akhir Desember 2022, lebih baik dibandingkan dengan apresiasi Thailand sebesar 0,20% dan India sebesar 0,08%, serta Filipina yang terdepresiasi sebesar 0,10%. Bank Indonesia terus memperkuat kebijakan stabilisasi nilai tukar Rupiah melalui triple intervention dan twist operation untuk mengendalikan inflasi barang impor ( imported inflation ) dan memitigasi risiko rambatan ketidakpastian pasar keuangan global. Ke depan, Bank Indonesia memprakirakan apresiasi Rupiah berlanjut ditopang oleh surplus transaksi berjalan dan aliran masuk modal asing seiring prospek pertumbuhan ekonomi yang kuat, inflasi yang rendah, serta imbal hasil aset keuangan domestik yang menarik</t>
  </si>
  <si>
    <t>S096</t>
  </si>
  <si>
    <t>Kinerja Neraca Pembayaran Indonesia triwulan II 2019 diprakirakan tetap terjaga sehingga menopang stabilitas eksternal Indonesia. Perkembangan ini ditopang surplus transaksi modal dan finansial yang lebih tinggi dari prakiraan sebelumnya. Aliran masuk modal asing dalam bentuk Penanaman Modal Asing (PMA) dan investasi portofolio diprakirakan mencatat surplus cukup besar, didorong prospek perekonomian nasional yang baik dan daya tarik investasi aset keuangan domestik yang tinggi. Aliran masuk modal asing portofolio sampai dengan Juni 2019 tercatat 9,7 miliar dolar AS. Sementara itu, defisit transaksi berjalan diprakirakan melebar dipengaruhi kinerja ekspor barang dan jasa yang menurun, serta perilaku musiman terkait peningkatan kebutuhan repatriasi dividen dan pembayaran bunga utang luar negeri. Perkembangan positif terlihat pada neraca perdagangan Indonesia Juni 2019 yang kembali mencatat surplus sebesar 0,196 miliar dolar AS, setelah pada bulan sebelumnya juga mencatat surplus 0,22 miliar dolar AS. Posisi cadangan devisa Indonesia pada akhir Juni 2019 tercatat sebesar 123,8 miliar dolar AS, setara dengan pembiayaan 7,1 bulan impor atau 6,8 bulan impor dan pembayaran utang luar negeri pemerintah, serta berada di atas standar kecukupan internasional sekitar 3 bulan impor. Ke depan, defisit transaksi berjalan 2019 diprakirakan lebih rendah dari tahun 2018, yaitu dalam kisaran 2,5%–3,0% PDB. Bank Indonesia akan terus memperkuat sinergi kebijakan dengan Pemerintah dan otoritas terkait untuk meningkatkan ketahanan eksternal, termasuk pada upaya mendorong peningkatan PMA</t>
  </si>
  <si>
    <t>S097</t>
  </si>
  <si>
    <t>Ke depan, Dewan Gubernur tetap fokus pada langkah-langkah stabilisasi nilai tukar Rupiah dan pengendalian ekspektasi inflasi. Sehubungan dengan hal tersebut, Bank Indonesia akan terus memperkuat bauran kebijakan moneter dan makroprudensial yang telah ditempuh selama ini. Respon kebijakan suku bunga BI Rate tetap diarahkan untuk mengendalikan tekanan inflasi dari sisi fundamental sesuai prakiraan makroekonomi ke depan. Sementara itu penguatan operasi moneter dan kebijakan makroprudensial, termasuk dengan menjaga kecukupan likuiditas dan mendorong pendalaman pasar keuangan, ditujukan untuk stabilisasi nilai tukar Rupiah dan menjaga ekspektasi inflasi. Koordinasi dengan Pemerintah terus diperkuat baik dalam menjaga stabilitas sistem keuangan melalui Forum Koordinasi Stabilitas Sistem Keuangan (FKSSK) maupun dalam pengendalian inflasi melalui forum TPI maupun TPID Laporan lengkap mengenai pembahasan Rapat Dewan Gubernur (RDG) Juni 2012 yang memuat perkembangan makroekonomi dan kebijakan moneter dapat dilihat dalam Tinjauan Kebijakan Moneter (TKM) di Website Bank Indonesia. Jakarta, 12 Juni 2012 Kepala Grup Hubungan Masyarakat Difi A. Johansyah Direktur</t>
  </si>
  <si>
    <t>S098</t>
  </si>
  <si>
    <t>Dari sisi perkembangan harga-harga, inflasi IHK dan inti pada bulan Juli masih tetap terkendali dan dalam tren yang menurun, walaupun mengalami kenaikan dibandingkan bulan sebelumnya. Inflasi IHK dan inti secara tahunan tercatat sebesar masing-masing 6,06% dan 5,75% lebih tinggi dibandingkan 5,77% dan 5,40% pada bulan Juni. Peningkatan inflasi pada bulan Juli dipengaruhi oleh kelompok inflasi harga makanan yang bergejolak ( volatile food ). Selain itu, meningkatnya inflasi impor, biaya pendidikan, sewa dan kontrak rumah merupakan pendorong meningkatnya inflasi inti</t>
  </si>
  <si>
    <t>S099</t>
  </si>
  <si>
    <t>Inflasi menurun dan tetap terjaga dalam kisaran sasaran 2,5±1%. Inflasi Indeks Harga Konsumen (IHK) Juli 2024 tercatat 2,13% (yoy), lebih rendah dari inflasi pada Juni 2024 sebesar 2,51% (yoy). Perkembangan ini dipengaruhi oleh rendahnya inflasi di seluruh komponen. Inflasi inti tercatat rendah yaitu sebesar 1,95% (yoy). Inflasi volatile food (VF) juga terus menurun menjadi 3,63% (yoy) dari bulan sebelumnya 5,96% (yoy). Penurunan inflasi VF tercatat di sebagian besar wilayah Indonesia, didukung oleh peningkatan pasokan pangan seiring berlanjutnya musim panen, serta eratnya sinergi pengendalian inflasi TPIP/TPID melalui GNPIP. Ke depan, Bank Indonesia meyakini inflasi IHK tetap terkendali dalam sasarannya. Inflasi inti diprakirakan terjaga seiring ekspektasi inflasi yang terjangkar dalam sasaran, kapasitas perekonomian yang masih besar dan dapat merespons permintaan domestik, imported inflation yang terkendali sejalan dengan kebijakan stabilisasi nilai tukar Rupiah Bank Indonesia, serta dampak positif berkembangnya digitalisasi. Inflasi VF diprakirakan tetap terkendali didukung oleh sinergi pengendalian inflasi Bank Indonesia dan Pemerintah Pusat dan Daerah. Bank Indonesia terus memperkuat kebijakan moneter pro-stability dan meningkatkan sinergi kebijakan dengan Pemerintah sehingga inflasi tahun 2024 dan 2025 terkendali dalam sasaran 2,5±1%</t>
  </si>
  <si>
    <t>S100</t>
  </si>
  <si>
    <t>Tekanan inflasi terus menurun dan semakin terkendali dalam sasaran 3,0±1%. Inflasi IHK Juli 2023 tercatat rendah, yaitu 3,08% (yoy), menurun dari inflasi Juni 2023 sebesar 3,52% (yoy). Penurunan inflasi terjadi di seluruh kelompok. Inflasi inti turun menjadi 2,43% (yoy), dari inflasi bulan sebelumnya sebesar 2,58% (yoy), sejalan dengan permintaan yang terkelola, ekspektasi inflasi yang terjaga, serta imported inflation yang rendah. Kelompok volatile food bahkan deflasi sebesar 0,03% (yoy), dari inflasi bulan sebelumnya sebesar 1,20% (yoy), sejalan dengan kesuksesan GNPIP di berbagai daerah. Inflasi kelompok administered prices juga terus menurun menjadi 8,42% (yoy), dari perkembangan bulan sebelumnya sebesar 9,21% (yoy). Rendahnya inflasi sebagai hasil nyata dari konsistensi kebijakan moneter serta eratnya sinergi pengendalian inflasi antara Bank Indonesia dan Pemerintah (Pusat dan Daerah) dalam TPIP dan TPID. Dengan perkembangan tersebut, Bank Indonesia meyakini inflasi tetap terkendali dalam kisaran 3,0±1% pada sisa tahun 2023 dan 2,5±1% pada 2024</t>
  </si>
  <si>
    <t>S101</t>
  </si>
  <si>
    <t>Bauran kebijakan Bank Indonesia terus diperkuat untuk mendorong pertumbuhan ekonomi dengan tetap menjaga stabilitas perekonomian. Kebijakan moneter ditempuh melalui penurunan suku bunga BI-Rate, stabilisasi nilai tukar Rupiah, dan ekspansi likuiditas moneter. BI-Rate telah turun sebesar 150 bps sejak September 2024 menjadi 4,75%, yang merupakan level terendah sejak tahun 2022. Kebijakan stabilisasi nilai tukar Rupiah terus diperkuat dengan intervensi di pasar off-shore melalui NDF dan intervensi di pasar domestik melalui pasar spot , DNDF, serta pembelian SBN di pasar sekunder. Sejalan dengan itu, Bank Indonesia menetapkan suku bunga instrumen moneter valas yang kompetitif untuk menjaga daya tarik penempatan dana di Indonesia yang dapat mendukung stabilitas nilai tukar Rupiah. Ekspansi likuiditas Rupiah juga ditempuh Bank Indonesia melalui penurunan posisi instrumen moneter SRBI dari Rp916,97 triliun pada awal tahun 2025 menjadi Rp707,05 triliun pada 21 Oktober 2025. Selain itu, Bank Indonesia membeli SBN sebagai bentuk sinergi erat antara kebijakan moneter dan kebijakan fiskal, yang hingga 21 Oktober 2025 mencapai Rp268,36 triliun, termasuk pembelian di pasar sekunder dan program debt switching dengan Pemerintah sebesar Rp199,45 triliun. Pembelian SBN di pasar sekunder dilakukan sesuai mekanisme pasar, terukur, transparan, dan konsisten dengan program moneter dalam menjaga stabilitas perekonomian sehingga dapat terus menjaga kredibilitas kebijakan moneter. Kebijakan moneter juga didukung oleh kebijakan insentif likuiditas makroprudensial (KLM) dan akselerasi digitalisasi sistem pembayaran guna mendorong pertumbuhan ekonomi</t>
  </si>
  <si>
    <t>S102</t>
  </si>
  <si>
    <t>Inflasi tetap rendah. dan mendukung stabilitas perekonomian . Indeks Harga Konsumen (IHK) pada Juli 2021 tercatat inflasi 0,08% (mtm) sehingga inflasi IHK sampai Juli 2021 mencapai 0,81% (ytd). Secara tahunan, inflasi IHK tercatat 1,52% (yoy), meningkat dibandingkan dengan inflasi bulan sebelumnya sebesar 1,33% (yoy). Inflasi inti terjaga rendah sejalan dengan masih terbatasnya permintaan domestik, terjaganya stabilitas nilai tukar, dan konsistensi kebijakan Bank Indonesia mengarahkan ekspektasi inflasi pada kisaran target. Inflasi kelompok volatile food dan administered prices sedikit meningkat diakibatkan kenaikan harga komoditas hortikultura dan berlanjutnya transmisi kenaikan cukai tembakau. Bank Indonesia tetap berkomitmen menjaga stabilitas harga dan memperkuat koordinasi kebijakan dengan Pemerintah, baik di tingkat pusat maupun daerah melalui Tim Pengendali Inflasi (TPI dan TPID), termasuk menjaga ketersediaan pasokan selama implementasi kebijakan pembatasan mobilitas. Inflasi diprakirakan akan berada dalam kisaran sasarannya 3,0±1% pada 2021 dan 2022</t>
  </si>
  <si>
    <t>S103</t>
  </si>
  <si>
    <t>Penguatan ekonomi domestik tercermin pada perkembangan sisi eksternal yang membaik, nilai tukar yang menguat, stabilitas harga yang terjaga, dan prospek pertumbuhan ekonomi yang lebih tinggi. Perbaikan ekonomi global berdampak positif bagi kinerja sektor eksternal Indonesia selama triwulan I-2010 terutama tercermin pada surplus transaksi berjalan Neraca Pembayaran Indonesia (NPI) yang lebih tinggi dari perkiraan semula. Perbaikan kinerja ekspor tidak hanya terjadi pada komoditi berbasis sumber daya alam, tetapi juga ekspor produk manufaktur. Sementara impor juga mencatat peningkatan sejalan dengan akselerasi permintaan domestik dan ekspor. Perkembangan yang positif ini juga sejalan dengan asesmen Bank Indonesia terhadap perkembangan ekonomi daerah yang menunjukkan bahwa ekspor produk perkebunan dan pertambangan mencatat kenaikan. Di sisi transaksi modal dan finansial, NPI juga mencatat surplus sejalan dengan aliran modal yang masih terus masuk karena kondisi makroekonomi yang membaik, imbal hasil rupiah yang masih menarik serta risiko investasi yang menurun. Dengan perkembangan tersebut, cadangan devisa Indonesia sampai dengan akhir triwulan I-2010 mencapai USD71,8 miliar atau setara dengan 5,8 bulan impor dan pembayaran utang luar negeri Pemerintah</t>
  </si>
  <si>
    <t>S104</t>
  </si>
  <si>
    <t>Nilai tukar Rupiah tetap terkendali didukung kebijakan stabilisasi Bank Indonesia di tengah ketidakpastian global yang tinggi. Nilai tukar Rupiah terhadap dolar AS pada September 2025 (hingga 16 September 2025) menguat sebesar 0,30% (ptp) dibandingkan dengan level akhir Agustus 2025. Stabilitas nilai tukar Rupiah didukung oleh konsistensi kebijakan stabilisasi Bank Indonesia di tengah tingginya ketidakpastian pasar keuangan global serta peningkatan konversi valas ke Rupiah oleh eksportir seiring penerapan penguatan kebijakan Devisa Hasil Ekspor Sumber Daya Alam (DHE SDA). Secara umum, perkembangan Rupiah relatif stabil bila dibandingkan dengan kelompok mata uang negara berkembang dan negara maju. Ke depan, nilai tukar Rupiah diprakirakan tetap stabil didukung komitmen Bank Indonesia dalam menjaga stabilitas nilai tukar Rupiah, imbal hasil yang menarik, inflasi yang rendah, dan tetap baiknya prospek pertumbuhan ekonomi Indonesia. Bank Indonesia terus memperkuat respons kebijakan stabilisasi, termasuk intervensi terukur di pasar off-shore NDF dan strategi triple intervention pada transaksi spot , DNDF, dan SBN di pasar sekunder. Seluruh instrumen moneter juga terus dioptimalkan, termasuk penguatan strategi operasi moneter pro-market untuk mendukung stabilitas nilai tukar Rupiah</t>
  </si>
  <si>
    <t>S105</t>
  </si>
  <si>
    <t>Rapat Dewan Gubernur (RDG) Bank Indonesia pada 21-22 Mei 2024. memutuskan untuk mempertahankan BI-Rate sebesar 6,25%, suku bunga Deposit Facility sebesar 5,50%, dan suku bunga Lending Facility sebesar 7,00%. Keputusan ini konsisten dengan kebijakan moneter pro-stability , yaitu sebagai langkah pre-emptive dan forward looking untuk memastikan inflasi tetap terkendali dalam sasaran 2,5±1% pada 2024 dan 2025, termasuk efektivitas dalam menjaga aliran masuk modal asing dan stabilitas nilai tukar Rupiah. Sementara itu, kebijakan makroprudensial dan sistem pembayaran tetap pro-growth untuk mendukung pertumbuhan ekonomi yang berkelanjutan. Kebijakan makroprudensial longgar terus ditempuh untuk mendorong kredit/pembiayaan perbankan kepada dunia usaha dan rumah tangga. Kebijakan sistem pembayaran diarahkan untuk memperkuat keandalan infrastruktur dan struktur industri sistem pembayaran, serta memperluas akseptasi digitalisasi sistem pembayaran Untuk memastikan stabilitas dan mendukung pertumbuhan ekonomi yang berkelanjutan di tengah masih tingginya ketidakpastian pasar keuangan global, Bank Indonesia terus memperkuat bauran kebijakan moneter, makroprudensial, dan sistem pembayaran melalui: Bank Indonesia terus memperkuat koordinasi kebijakan dengan Pemerintah untuk memitigasi dampak risiko masih tingginya ketidakpastian global. Untuk pengendalian inflasi, koordinasi kebijakan dengan Pemerintah (Pusat dan Daerah) ditempuh melalui program Gerakan Nasional Pengendalian Inflasi Pangan (GNPIP) di berbagai daerah dalam Tim Pengendalian Inflasi Pusat dan Daerah (TPIP dan TPID). Koordinasi kebijakan moneter dan fiskal juga diperkuat untuk menjaga stabilitas makroekonomi dan momentum pertumbuhan ekonomi. Bank Indonesia terus mempererat sinergi kebijakan dengan Komite Stabilitas Sistem Keuangan (KSSK) untuk menjaga stabilitas sistem keuangan dan mendorong kredit/pembiayaan kepada dunia usaha. K etidakpastian pasar keuangan global tetap tinggi di tengah prospek perekonomian Amerika Serikat (AS) yang kuat. Ekonomi AS tumbuh kuat ditopang oleh perbaikan permintaan domestik, termasuk fiskal akomodatif, dan kenaikan ekspor. Inflasi AS pada April 2024 tetap tinggi sejalan dengan pertumbuhan ekonomi AS yang kuat tersebut, meski melambat dibandingkan dengan inflasi Maret 2024. Perkembangan inflasi ini meningkatkan kemungkinan penurunan Fed Funds Rate (FFR) pada akhir tahun 2024. Pada saat bersamaan, risiko memburuknya ketegangan geopolitik sejak akhir April 2024 tidak berlanjut. Berbagai kondisi ini berdampak positif pada tertahannya penguatan dolar AS secara global dan menurunnya yield US Treasury dibandingkan dengan kondisi pada pertengahan April 2024, meski masih berada pada level yang tinggi. Aliran modal ke negara berkembang kembali terjadi dan mengurangi tekanan terhadap nilai tukarnya. Ke depan, risiko terkait arah penurunan FFR dan dinamika ketegangan geopolitik global tetap perlu dicermati karena dapat kembali mendorong kenaikan ketidakpastian pasar keuangan global, menekan mata uang negara berkembang, meningkatkan tekanan inflasi, dan menurunkan prospek pertumbuhan ekonomi dunia. Kondisi ini memerlukan respons kebijakan yang kuat untuk memitigasi dampak negatif dari rambatan ketidakpastian global tersebut terhadap perekonomian di negara-negara berkembang, termasuk Indonesia</t>
  </si>
  <si>
    <t>S106</t>
  </si>
  <si>
    <t>Kontraksi perekonomian global berlanjut dan pemulihan ekonomi dunia lebih lama dari prakiraan sebelumnya. Penyebaran COVID-19 yang kembali meningkat di beberapa negara seperti Amerika Serikat (AS), Brazil, dan India, memengaruhi perkembangan ini. Selain itu, mobilitas pelaku ekonomi yang belum kembali normal sejalan penerapan protokol kesehatan turut menahan aktivitas ekonomi. Perkembangan ini menyebabkan efektivitas berbagai stimulus kebijakan yang ditempuh dalam mendorong pemulihan ekonomi di banyak negara maju dan negara berkembang termasuk Tiongkok, menjadi terbatas. Sejumlah indikator ekonomi global menunjukkan permintaan yang lebih lemah, ekspektasi pelaku ekonomi yang masih rendah, serta permintaan ekspor yang tertahan sampai Juni 2020. Sejalan dengan permintaan global yang lebih lemah tersebut, volume perdagangan dan harga komoditas dunia juga lebih rendah dari perkiraan semula dan menurunkan tekanan inflasi global. Lambatnya pemulihan ekonomi dunia serta kembali meningkatnya tensi geopolitik AS-Tiongkok menaikkan ketidakpastian pasar keuangan global. Perkembangan ini akhirnya menahan berlanjutnya aliran modal ke negara berkembang dan kembali menekan nilai tukar negara berkembang, termasuk Indonesia</t>
  </si>
  <si>
    <t>S107</t>
  </si>
  <si>
    <t>Momentum pemulihan ekonomi global berlanjut. , di tengah ketidakpastian pasar keuangan yang masih tinggi . Pertumbuhan ekonomi global pada 2024 diprakirakan mencapai 3,0%. Pertumbuhan ekonomi Amerika Serikat (AS) tetap kuat ditopang oleh permintaan domestik. India juga tumbuh lebih baik dari prakiraan didukung oleh investasi pemerintah dan swasta. Sementara itu, prospek ekonomi Tiongkok tetap belum kuat, meskipun sedikit lebih tinggi dibandingkan dengan proyeksi sebelumnya didorong peningkatan stimulus fiskal. Harga komoditas meningkat didorong oleh naiknya biaya angkut karena ketegangan geopolitik dan ketatnya pasokan akibat faktor cuaca. Berbagai perkembangan tersebut mengakibatkan laju penurunan inflasi global tertahan, dengan inflasi di negara maju masih di atas targetnya. Suku bunga Fed Funds Rate (FFR) diprakirakan baru menurun pada semester II 2024. Ketidakpastian pasar keuangan global masih tinggi tecermin pada y ield US Treasury yang meningkat sejalan dengan premi risiko jangka panjang dan inflasi yang masih di atas prakiraan pasar. Perkembangan ini mendorong berlanjutnya penguatan dolar AS secara global, lebih terbatasnya aliran masuk modal asing, dan meningkatnya tekanan pelemahan nilai tukar di negara emerging market . Kondisi tersebut memerlukan penguatan respons kebijakan untuk memitigasi dampak negatif rambatan global tersebut, termasuk di Indonesia</t>
  </si>
  <si>
    <t>S108</t>
  </si>
  <si>
    <t>Pergerakan nilai tukar rupiah cukup stabil dan cenderung menguat. Nilai tukar rupiah, secara rata-rata bulanan, tercatat menguat sebesar 0,17% ke level Rp13.298 per dolar AS. Penguatan tersebut ditopang oleh berlanjutnya penjualan valas oleh korporasi dan aliran masuk modal asing yang cukup besar ke pasar keuangan domestik, serta sejalan dengan penguatan mata uang regional. Volatilitas nilai tukar terjaga rendah disertai dengan meningkatnya efisiensi di pasar valas. Hal ini sejalan dengan berbagai langkah pendalaman pasar valas sebagaimana tercermin dari semakin besarnya volume transaksi valas harian, termasuk transaksi derivatif. Bank Indonesia akan tetap melakukan langkah-langkah stabilisasi nilai tukar sesuai dengan nilai fundamentalnya dengan tetap menjaga bekerjanya mekanisme pasar</t>
  </si>
  <si>
    <t>S109</t>
  </si>
  <si>
    <t>Inflasi pada Agustus 2014 menurun seiring dengan meredanya tekanan harga pasca Idul fitri. Indeks Harga Konsumen (IHK) pada bulan Agustus mencatat inflasi sebesar 0,47% (mtm) atau 3,99% (yoy), lebih rendah dibandingkan dengan inflasi pada bulan sebelumnya sebesar 0,93% (mtm) atau 4,53% (yoy). Penurunan inflasi tersebut ditopang oleh menurunnya inflasi volatile food dan adminsitered prices, serta terkendalinya inflasi inti. Inflasi inti masih terkendali dan sedikit menurun mencapai 4,47% (yoy), sejalan dengan terjaganya ekspektasi inflasi. Bank Indonesia menilai inflasi sampai dengan Agustus 2014 masih sejalan dengan pencapaian sasaran inflasi 4,5±1% pada 2014 dan 4,0±1% pada 2015. Ke depan, Bank Indonesia tetap mewaspadai berbagai risiko yang dapat mengganggu pencapaian sasaran inflasi, khususnya yang bersumber dari kemungkinan kenaikan administered prices, dan akan memperkuat langkah-langkah koordinasi pengendalian inflasi</t>
  </si>
  <si>
    <t>S110</t>
  </si>
  <si>
    <t>Ke depan, kebijakan Bank Indonesia pada tahun 2014 tetap difokuskan untuk menjaga stabilitas perekonomian dan sistem keuangan melalui penguatan bauran kebijakan di bidang moneter, makroprudensial, dan sistem pembayaran. Di bidang moneter, kebijakan akan tetap secara konsisten diarahkan untuk mengendalikan inflasi menuju sasarannya dan defisit transaksi berjalan ke tingkat yang sehat, melalui kebijakan suku bunga dan stabilisasi nilai tukar sesuai fundamentalnya. Penguatan operasi moneter, pengelolaan lalu lintas devisa, dan pendalaman pasar keuangan akan diintensifkan untuk mendukung efektifitas transmisi suku bunga dan nilai tukar, sekaligus untuk memperkuat struktur dan daya dukung sistem keuangan dalam pembiayaan pembangunan. Di bidang makroprudensial, kebijakan diarahkan untuk memitigasi risiko sistemik di sektor keuangan serta pengendalian kredit dan likuiditas agar sejalan dengan pengelolaan stabilitas makroekonomi. Sementara di bidang sistem pembayaran, kebijakan diarahkan untuk pengembangan industri sistem pembayaran domestik yang lebih efisien. Seluruh kebijakan tersebut akan diperkuat dengan berbagai langkah koordinasi kebijakan yang ditempuh bersama dengan Pemerintah dan otoritas sektor keuangan terkait Jakarta, 9 Januari 2014 Departemen Komunikasi Peter Jacobs Direktur Laporan lengkap mengenai perkembangan ekonomi makro dan kebijakan moneter yang dibahas pada RDG Januari 2014 dapat dilihat dalam Tinjauan Kebijakan Moneter (TKM) di Website Bank Indonesia</t>
  </si>
  <si>
    <t>S111</t>
  </si>
  <si>
    <t>Dengan mempertimbangkan berbagai perkembangan di atas, Rapat Dewan Gubernur Bank Indonesia hari ini memutuskan bahwa BI rate tetap dipertahankan pada level 12,50% . Ke depan, jika hasil asesmen menyeluruh terhadap prospek ekonomi menunjukkan bahwa risiko-risiko tersebut telah berkurang, maka penurunan suku bunga BI Rate lebih lanjut dapat dilakukan. Jakarta, 6 Juni 2006 Direktorat Perencanaan Strategis dan Hubungan Masyarakat</t>
  </si>
  <si>
    <t>S112</t>
  </si>
  <si>
    <t>Inflasi pada Mei 2014 masih terkendali, didukung oleh masih berlangsungnya koreksi harga beberapa bahan pangan dan stabilnya inflasi inti. Indeks Harga Konsumen (IHK) pada bulan Mei mencatat inflasi sebesar 0,16% (mtm) atau 7,32% (yoy), sedikit meningkat dibandingkan dengan inflasi pada bulan sebelumnya sebesar -0,02% (mtm) atau 7,25 % (yoy). Inflasi inti mencapai 0,23% (mtm), relatif stabil seperti bulan lalu, didukung oleh masih menurunnya harga global di tengah depresiasi Rupiah. Inflasi volatile food masih mencatat deflasi, meskipun dengan intensitas yang berkurang dari bulan sebelumnya. Hal ini didorong oleh melimpahnya panen komoditas cabai merah dan cabai rawit serta masih berlangsungnya panen beras di beberapa daerah. Sementara itu, inflasi administered prices pada bulan Mei sedikit meningkat, karena kenaikan tarif angkutan umum, khususnya angkutan udara dan kereta api, seiring dengan banyaknya hari libur. Bank Indonesia menilai inflasi sampai dengan Mei 2014 masih sejalan dengan pencapaian sasaran inflasi 4,5±1% pada 2014 dan 4,0±1% pada 2015. Ke depan, Bank Indonesia mencermati risiko inflasi yang berasal dari pola musiman perayaan hari besar keagamaan dan risiko lainnya seperti potensi tekanan penyesuaian administered prices dan peningkatan harga pangan akibat dampak El Nino. Dalam mengantisipasi risiko tersebut, Bank Indonesia akan memperkuat langkah-langkah penguatan koordinasi pengendalian inflasi, khususnya melalui forum TPI dan TPID</t>
  </si>
  <si>
    <t>S113</t>
  </si>
  <si>
    <t>Nilai tukar Rupiah bergerak sesuai mekanisme pasar dan mendukung proses penyesuaian sektor eksternal dalam menopang kesinambungan perekonomian. Rupiah mencatat depresiasi pada triwulan III dan Oktober 2018 dan kemudian menguat pada November 2018. Secara point to point , Rupiah melemah sebesar 3,84% pada triwulan III 2018 dan 1,98% pada Oktober 2018 akibat ketidakpastian ekonomi global. Pada November 2018, Rupiah menguat dipengaruhi aliran masuk modal asing dipicu kondisi perekonomian domestik yang tetap kondusif, kebijakan pendalaman pasar keuangan, dan pengaruh sentimen positif dari hasil pemilu di AS dan sempat meredanya ketegangan dagang antara AS dan Tiongkok. Aliran masuk modal asing ke pasar keuangan domestik terjadi pada semua jenis aset, termasuk ke pasar saham. Dengan perkembangan tersebut, sampai 14 November 2018, secara year to date (ytd) Rupiah terdepresiasi 8,25% atau lebih rendah dari Turki, Afrika Selatan, India, dan Brazil. Ke depan, Bank Indonesia terus mewaspadai risiko ketidakpastian pasar keuangan global dengan tetap melakukan langkah-langkah stabilisasi nilai tukar sesuai nilai fundamentalnya, serta menjaga bekerjanya mekanisme pasar dan didukung upaya-upaya pengembangan pasar keuangan</t>
  </si>
  <si>
    <t>S114</t>
  </si>
  <si>
    <t>Nilai tukar Rupiah masih mengalami tekanan depresiasi dengan volatilitas yang menurun. Secara point to point , Rupiah melemah sebesar 3,94% pada triwulan II 2018 dan 0,62% pada Juli 2018. Perkembangan Rupiah pada bulan Juli tersebut disertai dengan volatilitas yang menurun, meskipun dolar AS terus mengalami penguatan secara luas. Secara year to date (ytd) Rupiah terdepresiasi 7,04% atau lebih rendah dari India, Brazil, Afrika Selatan, dan Rusia. Sementara itu, aliran modal asing telah kembali masuk ke pasar keuangan domestik pada semua jenis aset. Ke depan, Bank Indonesia terus mewaspadai risiko ketidakpastian pasar keuangan global dengan tetap melakukan langkah-langkah stabilisasi nilai tukar sesuai nilai fundamentalnya, serta menjaga bekerjanya mekanisme pasar dan didukung upaya-upaya pengembangan pasar keuangan. Kebijakan tetap ditopang oleh strategi intervensi ganda dan strategi operasi moneter untuk menjaga kecukupan likuiditas khususnya di pasar uang Rupiah dan valas. Kebijakan Bank Indonesia dalam meningkatkan efektivitas penyediaan swap valas dengan tingkat harga yang lebih murah mampu meningkatkan minat peserta lelang di berbagai tenor dan menurunkan premi swap pasar, misalnya dari 4,85% menjadi 4,62% untuk tenor 1 bulan dan dari 5,18% menjadi 4,96% untuk tenor 1 tahun</t>
  </si>
  <si>
    <t>S115</t>
  </si>
  <si>
    <t>Dewan Gubernur mencatat bahwa pertumbuhan ekonomi domestik masih dalam tren meningkat dan disertai terjaganya stabilitas sistem keuangan. Asesmen terhadap perkembangan ekonomi selama bulan Juli 2010 memberikan indikasi bahwa ekonomi domestik menunjukkan perbaikan, di tengah masih adanya risiko ketidakpastian global terutama terkait perlambatan ekonomi Cina dan prospek pemulihan ekonomi AS. Pertumbuhan ekonomi diperkirakan akan lebih tinggi, didukung oleh kinerja ekspor dan investasi yang meningkat, serta masih kuatnya konsumsi. Di sisi penawaran, kinerja sektor perdagangan dan industri diperkirakan masih menunjukkan peningkatan sejalan dengan peningkatan di sisi permintaan</t>
  </si>
  <si>
    <t>S116</t>
  </si>
  <si>
    <t>Nilai tukar Rupiah terjaga. didukung oleh langkah-langkah stabilisasi Bank Indonesia dan ketahanan sektor eksternal Indonesia , di tengah ketidakpastian pasar keuangan global yang berlanjut . Nilai tukar Rupiah pada 19 Januari 2022 melemah 0,77% secara point to point dan 0,01% secara rerata dibandingkan dengan level Desember 2021. Perkembangan nilai tukar Rupiah tersebut disebabkan oleh aliran masuk modal asing yang masih terbatas di tengah terjaganya pasokan valas domestik dan persepsi positif terhadap prospek perekonomian domestik. Depresiasi Rupiah tersebut relatif lebih rendah dibandingkan depresiasi mata uang sejumlah negara berkembang lainnya, seperti Filipina (0,98% ytd) dan Rusia (2,89% ytd). Ke depan, nilai tukar Rupiah diprakirakan tetap terjaga didukung oleh kondisi fundamental ekonomi Indonesia yang tetap baik, di tengah ketidakpastian pasar keuangan global yang berlanjut. Bank Indonesia terus memperkuat kebijakan stabilisasi nilai tukar Rupiah sesuai dengan fundamentalnya dan bekerjanya mekanisme pasar, melalui efektivitas operasi moneter dan ketersediaan likuiditas di pasar Inflasi 202 1 tetap rendah dan mendukung stabilitas perekonomian. Inflasi Indeks Harga Konsumen (IHK) 2021 tercatat sebesar 1,87% (yoy) dan berada di bawah kisaran sasaran 3,0%±1%, meski meningkat dibandingkan dengan inflasi IHK 2020 sebesar 1,68% (yoy). Perkembangan tersebut dipengaruhi oleh permintaan domestik yang belum kuat sebagai dampak pandemi Covid-19, nilai tukar yang stabil dan ekspektasi inflasi yang terjaga, ketersediaan pasokan dan kelancaran distribusi bahan pangan, serta sinergi kebijakan Bank Indonesia dan Pemerintah untuk menjaga stabilitas harga. Ke depan, inflasi pada tahun 2022 diprakirakan terkendali dalam sasaran 3,0%±1% sejalan dengan masih memadainya penawaran agregat dalam memenuhi kenaikan permintaan agregat, tetap terkendalinya ekspektasi inflasi dan stabilitas nilai tukar Rupiah, serta respons kebijakan yang ditempuh Bank Indonesia dan Pemerintah. Bank Indonesia berkomitmen menjaga stabilitas harga dan memperkuat koordinasi kebijakan dengan Pemerintah melalui Tim Pengendalian Inflasi Pusat dan Daerah (TPIP dan TPID) guna menjaga inflasi IHK dalam kisaran targetnya</t>
  </si>
  <si>
    <t>S117</t>
  </si>
  <si>
    <t>Nilai tukar rupiah mengalami apresiasi sebesar 9.99% selama Triwulan II-2009. Faktor fundamental ekonomi yang tetap positif, pelaksanaan Pemilu yang berjalan lancar dan sentimen positif ekonomi global telah meningkatkan arus dana asing masuk ke pasar domestik. Arus modal yang tetap positif, bersamaan dengan membaiknya ekspor berkontribusi positif pada kinerja Neraca Pembayaran Indonesia (NPI). Pada akhir Juni 2009 jumlah cadangan mencapai 57,6 miliar dolar AS, cukup untuk membiayai 5,6 bulan impor dan pembayaran utang luar negeri Pemerintah</t>
  </si>
  <si>
    <t>S118</t>
  </si>
  <si>
    <t>Inflasi lebih rendah dari prakiraan awal. Inflasi Indeks Harga Konsumen (IHK) September 2022 tercatat sebesar 5,95% (yoy) lebih tinggi dibandingkan dengan inflasi pada bulan sebelumnya sebesar 4,69% (yoy), didorong oleh penyesuaian harga Bahan Bakar Minyak (BBM). Realisasi inflasi tersebut lebih rendah dari prakiraan sebelumnya sejalan dengan dampak penyesuaian harga BBM terhadap kenaikan inflasi kelompok pangan bergejolak ( volatile food) dan inflasi kelompok harga diatur Pemerintah ( administered prices ) yang tidak sebesar prakiraan awal. Inflasi volatile food terkendali sebesar 9,02% (yoy) sejalan dengan sinergi dan koordinasi kebijakan yang erat melalui TPIP-TPID dan Gerakan Nasional Pengendalian Inflasi Pangan (GNPIP) dalam mendorong ketersediaan pasokan, kelancaran distribusi, kestabilan harga, dan komunikasi efektif. Kenaikan inflasi administered prices juga tidak setinggi yang diprakirakan yaitu 13,28% (yoy) sejalan dengan penyesuaian harga BBM dan tarif angkutan yang lebih rendah. Sementara itu, inflasi inti tetap terjaga rendah yaitu sebesar 3,21% (yoy) sejalan dengan lebih rendahnya dampak rambatan dari penyesuaian harga BBM tersebut di atas dan belum kuatnya tekanan inflasi dari sisi permintaan. Di tengah ekspektasi inflasi Consensus Forecast yang terlalu tinggi ( overshooting ), Survei Pemantauan Harga (SPH) hingga minggu kedua menunjukkan inflasi pada bulan Oktober diprakirakan lebih rendah dibandingkan bulan September 2022. Dengan perkembangan tersebut, Bank Indonesia memandang inflasi tahun 2022 akan lebih rendah dibandingkan dengan prakiraan awal, meski masih di atas sasaran 3,0±1%. Sinergi kebijakan antara Pemerintah Pusat dan Daerah dengan Bank Indonesia akan terus diperkuat untuk memastikan inflasi agar segera kembali ke sasaran yang telah ditetapkan</t>
  </si>
  <si>
    <t>S119</t>
  </si>
  <si>
    <t>Rapat Dewan Gubernur (RDG) Bank Indonesia pada 14 Mei 2013 memutuskan untuk mempertahankan BI Rate pada level 5,75%. Tingkat BI Rate tersebut dinilai masih konsisten dengan sasaran inflasi tahun 2013 dan 2014, sebesar 4,5% ± 1%. Meskipun Indeks Harga Konsumen (IHK) bulan April 2013 mengalami deflasi, Bank Indonesia tetap mewaspadai tekanan inflasi yang berasal dari kenaikan ekspektasi inflasi terkait dengan rencana kebijakan BBM yang akan ditempuh Pemerintah. Sehubungan dengan itu, Bank Indonesia akan melanjutkan penguatan operasi moneter melalui penyerapan likuiditas yang lebih besar ke tenor yang lebih jangka panjang. Penguatan operasi moneter tersebut juga dimaksudkan untuk mendukung kebijakan stabilisasi nilai tukar Rupiah sesuai dengan tingkat fundamentalnya. Kebijakan ini didukung dengan langkah-langkah lanjutan untuk pendalaman pasar keuangan, khususnya pasar valuta asing, antara lain dengan mempublikasikan kurs referensi spot Rupiah/dollar Amerika Serikat (AS) di pasar domestik dalam waktu dekat. Ke depan, Bank Indonesia akan mewaspadai sejumlah risiko terhadap tekanan inflasi maupun nilai tukar, dan akan menyesuaikan respon kebijakan moneter bila diperlukan. Selain itu, koordinasi bersama Pemerintah terus diperkuat dengan fokus pada upaya meminimalkan potensi tekanan inflasi dan mengelola defisit transaksi berjalan</t>
  </si>
  <si>
    <t>S120</t>
  </si>
  <si>
    <t>​Pertumbuhan ekonomi Indonesia tetap baik dan perlu didorong agar lebih tinggi. Investasi terus tumbuh, khususnya investasi bangunan sejalan dengan tahapan finalisasi operasional Ibu Kota Nusantara (IKN) dan penyelesaian berbagai Proyek Strategis Nasional (PSN). Pertumbuhan konsumsi rumah tangga tetap terjaga, khususnya untuk kelas menengah ke atas. Ekspor nonmigas tetap baik sehingga turut menopang pertumbuhan ekonomi. Belanja Pemerintah yang diprakirakan meningkat pada akhir tahun diharapkan dapat juga menopang permintaan domestik. Berbagai indikator terkini, termasuk hasil survei Bank Indonesia, menunjukkan kegiatan ekonomi pada triwulan III 2024 yang baik, sebagaimana tecermin pada keyakinan konsumen yang tinggi, penjualan eceran yang positif, serta impor barang modal dan penjualan semen yang meningkat. Bank Indonesia memprakirakan pertumbuhan ekonomi 2024 diprakirakan berada dalam kisaran 4,7-5,5%. Ke depan, berbagai upaya perlu terus ditempuh untuk mendorong pertumbuhan, baik dari sisi permintaan maupun dari sisi penawaran. Untuk itu, Bank Indonesia terus memperkuat bauran kebijakan untuk mendorong pertumbuhan ekonomi agar lebih tinggi, bersinergi erat dengan kebijakan stimulus fiskal Pemerintah. Dari sisi penawaran, kebijakan reformasi struktural perlu terus diperkuat untuk meningkatkan produktivitas dan memperkuat struktur pertumbuhan ekonomi, termasuk sektor ekonomi yang dapat menyerap tenaga kerja dan memiliki nilai tambah yang tinggi</t>
  </si>
  <si>
    <t>S121</t>
  </si>
  <si>
    <t>Suku bunga kebijakan moneter yang tetap rendah dan likuiditas yang. longgar mendorong suku bunga kredit perbankan dalam tren terus menurun . Di pasar uang dan pasar dana, suku bunga PUAB overnight dan suku bunga deposito 1 bulan perbankan telah menurun, masing-masing sebesar 26 bps dan 131 bps sejak Desember 2020 menjadi 2,78% dan 2,96% pada Desember 2021. Di pasar kredit, penurunan SBDK perbankan terus berlanjut, diikuti penurunan suku bunga kredit baru pada seluruh kelompok Bank. Aktivitas ekonomi dan mobilitas masyarakat yang meningkat mendorong perbaikan persepsi risiko perbankan, sehingga berdampak positif bagi penurunan suku bunga kredit baru. Namun demikian, penurunan suku bunga kredit yang jauh lebih lambat daripada penurunan suku bunga deposito perbankan menyebabkan spread antara suku bunga kredit dan deposito, serta Net Interest Margin (NIM) perbankan, terus mengalami peningkatan. Oleh sebab itu, Bank Indonesia memandang peran perbankan dalam penyaluran kredit/pembiayaan termasuk melalui penurunan suku bunga kredit dapat ditingkatkan guna semakin mendorong pemulihan ekonomi nasional</t>
  </si>
  <si>
    <t>S122</t>
  </si>
  <si>
    <t>Stabilitas sistem keuangan dan fungsi intermediasi perbankan tetap terjaga dengan baik. Kinerja industri perbankan yang solid tercermin pada tingginya rasio kecukupan modal (CAR/ Capital Adequacy Ratio ) yang berada jauh di atas minimum 8% dan terjaganya rasio kredit bermasalah (NPL/ Non Performing Loan ) gross di bawah 5%. Sementara itu, pertumbuhan kredit hingga akhir Desember 2012 mencapai 23,1% (yoy), meningkat dari 22,3% (yoy) pada bulan sebelumnya. Kredit modal kerja tumbuh cukup tinggi sebesar 23,2% (yoy) dan kredit investasi tumbuh stabil pada level yang tinggi sebesar 27,4% (yoy), dan diharapkan dapat meningkatkan kapasitas perekonomian nasional. Sementara itu, kredit konsumsi tumbuh sebesar 20,0% (yoy). Ke depan, Bank Indonesia meyakini stabilitas sistem keuangan akan tetap terjaga dengan fungsi intermediasi perbankan yang akan meningkat seiring dengan peningkatan kinerja perekonomian nasional Laporan lengkap mengenai pembahasan Rapat Dewan Gubernur (RDG) Februari 2013 yang memuat perkembangan ekonomi makro dan kebijakan moneter dapat dilihat dalam Tinjauan Kebijakan Moneter (TKM) di Website Bank Indonesia . Jakarta, 12 Februari 2012 Kepala Grup Hubungan Masyarakat Difi A. Johansyah Direktur</t>
  </si>
  <si>
    <t>S123</t>
  </si>
  <si>
    <t>Ketidakpastian pasar keuangan global semakin mereda dengan kemungkinan kenaikan suku bunga AS yang lebih bertahap, serta kebijakan suku bunga negatif di Jepang dan Uni Eropa. Pertumbuhan ekonomi dunia pada tahun 2016 dan 2017 diperkirakan lebih lambat dari perkiraaan sebelumnya, dengan pemulihan ekonomi yang belum kuat di sejumlah negara maju dan perlambatan ekonomi di negara berkembang. Masih lemahnya prospek perekonomian dan rendahnya inflasi di Eropa dan Jepang, mendorong Bank Sentral Eropa (ECB) dan Bank Sentral Jepang (BoJ) terus melanjutkan pelonggaran kebijakan moneter, baik melalui injeksi likuiditas maupun kebijakan suku bunga negatif. Bank Sentral Tiongkok (PBoC) menurunkan rasio giro wajib minimum untuk tetap mendorong perekonomiannya yang terus melambat. Sementara itu, Bank Sentral AS (Fed) mempertahankan target suku bunga Fed Fund Rate (FFR) sebesar 0.25-0.50% pada tanggal 16 Maret 2016, sejalan dengan konsumsi yang tumbuh moderat, laju inflasi yang masih di bawah target, serta prospek ekonomi dan keuangan global yang masih berisiko. Suku bunga Fed Fund Rate (FFR) diperkirakan baru akan meningkat di semester II 2016 dengan besaran kenaikan yang lebih rendah. Di pasar komoditas, harga minyak dunia diperkirakan masih rendah, akibat tingginya pasokan di tengah permintaan yang masih lemah</t>
  </si>
  <si>
    <t>S124</t>
  </si>
  <si>
    <t>Momentum pemulihan ekonomi global kembali meningkat meskipun masih dibayangi oleh risiko krisis utang di Eropa. Di tengah masih lemahnya pemulihan ekonomi di negara maju, kinerja ekonomi negara emerging markets tetap menunjukkan peningkatan. Selain itu, harga komoditas global terus menunjukkan peningkatan, tidak hanya dipengaruhi oleh faktor supply-demand tetapi juga didorong oleh beralihnya investasi ke pasar komoditas akibat pelemahan dolar AS dan rendahnya imbal hasil di negara maju. Sejauh ini, respon kebijakan bank sentral negara-negara maju masih cenderung mempertahankan suku bunga pada level yang relatif rendah. Sementara itu, beberapa negara emerging markets telah meningkatkan suku bunga kebijakannya yang disertai kebijakan untuk mengelola capital inflows dan menstabilkan pergerakan nilai tukar Di tengah kondisi ekonomi dan keuangan global yang masih diliputi ketidakpastian tersebut, Dewan Gubernur meyakini perekonomian Indonesia pada 2010 dapat tumbuh sekitar 6% . Capaian ini didukung oleh pertumbuhan ekonomi pada triwulan IV-2010 yang diperkirakan mencapai 6,1%, lebih tinggi dibanding triwulan sebelumnya. Pertumbuhan ekonomi tersebut ditopang oleh kuatnya permintaan domestik terutama konsumsi rumah tangga dan investasi. Peningkatan ekonomi Indonesia juga didukung oleh kinerja sisi eksternal yang cukup solid. Pertumbuhan ekspor di triwulan IV-2010 masih tetap tinggi meskipun melambat, demikian pula halnya dengan impor sehingga transaksi berjalan masih tetap mengalami surplus. Untuk keseluruhan 2010, Neraca Pembayaran Indonesia (NPI) mengalami surplus yang cukup besar di dukung oleh masih kuatnya aliran masuk modal asing khususnya investasi langsung (PMA) dan investasi portofolio. Dengan perkembangan tersebut, posisi cadangan devisa sampai dengan akhir Desember 2010 tercatat sebesar USD96,2 miliar atau setara dengan 7,1 bulan impor dan pembayaran utang luar negeri pemerintah. Sejalan dengan kuatnya kinerja eksternal ekonomi Indonesia tersebut, nilai tukar rupiah mencatat apresiasi disertai tingkat volatilitas yang cukup rendah . Secara point-to-point Rupiah menguat 4,4% (ytd) menjadi Rp9.010 per USD disertai volatilitas yang menurun. Kebijakan pengelolaan capital inflows dan stabilitas nilai tukar yang ditempuh Bank Indonesia melalui intervensi valas dan akumulasi cadangan devisa mendorong ekspektasi positif terhadap perekonomian domestik. Secara relatif, penguatan Rupiah lebih rendah dari apresiasi nilai tukar negara di kawasan, dan karenanya daya saing Indonesia masih cukup kompetitif</t>
  </si>
  <si>
    <t>S125</t>
  </si>
  <si>
    <t>Ke depan, perkembangan ekonomi global dan domestik yang membaik selama triwulan II-2010 tersebut diperkirakan akan terus berlanjut. Pertumbuhan ekonomi pada tahun 2010 diperkirakan akan cenderung menuju ke batas atas kisaran proyeksi 5,5%-6,0%. Kenaikan ekspor dan investasi diperkirakan akan terus terjadi dan semakin memperkuat kenaikan konsumsi dalam mendukung pertumbuhan ekonomi yang lebih tinggi pada tahun 2010 dan 2011. Untuk 2011, pertumbuhan ekonomi diperkirakan akan mencapai kisaran 6,0%-6,5%. Di sisi harga, Dewan Gubernur mencatat adanya tanda-tanda tekanan inflasi ke depan yang cenderung meningkat intensitasnya. Dalam beberapa bulan ke depan hingga akhir tahun 2010, tekanan inflasi diperkirakan terutama berasal dari dampak kenaikan TDL, datangnya Ramadhan dan Idhul Fitri, dan kenaikan harga-harga bahan makanan terkait dengan ketidakpastian musim. Sementara itu, untuk tahun 2011 tekanan inflasi dapat terjadi dengan akan semakin terbatasnya respon sisi penawaran terhadap peningkatan permintaan yang diperkirakan akan terus berlanjut. Bank Indonesia akan terus mewaspadai meningkatnya tekanan inflasi tersebut dan menyesuaikan respon kebijakan moneter yang diperlukan untuk memastikan agar inflasi tetap berada pada kisasaran sasaran yang telah ditetapkan, yaitu 5%±1% pada tahun 2010 dan 2011 Laporan lengkap mengenai perkembangan makroekonomi dan kebijakan moneter serta prospek ke depan dapat dilihat pada Laporan Kebijakan Moneter (LKM) di website Bank Indonesia (www.bi.go.id). Jakarta, 5 Juli 2010 Direktorat Perencanaan Strategis dan Hubungan Masyarakat</t>
  </si>
  <si>
    <t>S126</t>
  </si>
  <si>
    <t>Neraca Pembayaran Indonesia (NPI). 2023 diprakirakan mencatat surplus sehingga mendukung ketahanan eksternal. Surplus neraca perdagangan berlanjut pada Desember 2023 yang tercatat 3,3 miliar dolar AS dipengaruhi oleh kinerja ekspor komoditas utama Indonesia yang tetap kuat, seperti batu bara serta besi dan baja. Perkembangan ini mendukung transaksi berjalan 2023 tetap sehat dan diprakirakan dalam kisaran surplus 0,4% sampai dengan defisit 0,4% dari PDB. Aliran masuk modal asing dalam bentuk investasi portofolio ke pasar keuangan domestik juga terus berlanjut dengan net inflows hingga akhir tahun 2023 tercatat sebesar 5,4 miliar dolar AS dan pada Januari 2024 (hingga 15 Januari 2024) tercatat sebesar 3,0 miliar dolar AS. Posisi cadangan devisa Indonesia pada akhir Desember 2023 tercatat meningkat menjadi 146,4 miliar dolar AS, setara dengan pembiayaan 6,7 bulan impor atau 6,5 bulan impor dan pembayaran utang luar negeri pemerintah, serta berada di atas standar kecukupan internasional sekitar 3 bulan impor. Pada tahun 2024, NPI diprakirakan tetap surplus dengan defisit transaksi berjalan yang rendah dalam kisaran defisit 0,1% sampai dengan defisit 0,9% dari PDB. Sementara itu, surplus neraca transaksi modal dan finansial diprakirakan berlanjut didukung oleh aliran masuk modal asing sejalan dengan persepsi positif investor terhadap prospek perekonomian domestik yang lebih baik dan imbal hasil investasi yang menarik</t>
  </si>
  <si>
    <t>S127</t>
  </si>
  <si>
    <t>Di bidang stabilitas sistem keuangan, Dewan Gubernur menilai perkembangannya sejauh ini masih terjaga dan didukung oleh kondisi sektor perbankan yang tetap kuat dalam menghadapi berbagai risiko, serta membaiknya fungsi intermediasi perbankan. Hal ini antara lain ditunjukkan oleh tingginya rasio kecukupan modal (CAR/ Capital Adequacy Ratio ) perbankan yang saat ini mencapai 16,6% dan terjaganya rasio kredit bermasalah (NPL/ Non Performing Loan ) gross di bawah 5,0%. Peningkatan fungsi intermediasi perbankan tercermin pada angka pertumbuhan kredit yang meningkat mencapai 20,3% (yoy) pada Agustus 2010. Bank Indonesia akan selalu memantau perkembangan perbankan untuk memastikan fungsi intermediasinya berjalan dengan baik</t>
  </si>
  <si>
    <t>S128</t>
  </si>
  <si>
    <t>Melemahnya perekonomian dunia mulai berdampak pada kinerja sisi eksternal perekonomian Indonesia sehingga pertumbuhan ekonomi diprakirakan akan lebih rendah dari prakiraan sebelumnya. Dengan menurunnya kinerja ekspor, pertumbuhan ekonomi pada triwulan III-2012 diprakirakan tumbuh lebih rendah yaitu sebesar 6,3% dan berada pada kisaran 6,1-6,5% pada tahun 2012 dan 6,3-6,7% tahun 2013. Tingkat pertumbuhan ekonomi tersebut terutama didukung oleh tetap kuatnya permintaan domestik, baik konsumsi dan investasi yang tumbuh cukup tinggi. Di sisi sektoral, seluruh sektor ekonomi diprakirakan masih tumbuh dengan baik. Sektor-sektor yang diprakirakan menjadi pendorong utama pertumbuhan ekonomi ke depan, antara lain sektor transportasi dan komunikasi; sektor perdagangan, hotel dan restoran; dan sektor industri</t>
  </si>
  <si>
    <t>S129</t>
  </si>
  <si>
    <t>1. Hasil Rapat Dewan Gubernur (RDG), 5 April 2006, yang mengevaluasi perkembangan perekonomian selama triwulan I-2006, memandang bahwa secara umum perekonomian nasional menunjukkan perkembangan yang membaik. Perekonomian pada triwulan I-2006 diperkirakan tumbuh 4,58%, sedikit lebih tinggi dari perkiraan di awal tahun sebesar 4,35% (yoy). Perkembangan yang lebih positif ini terutama didukung oleh terjaganya kestabilan ekonomi makro, seperti menguatnya nilai tukar, menurunnya tingkat inflasi, dan surplus neraca pembayaran. Untuk keseluruhan tahun 2006, Bank Indonesia memandang bahwa optimisme pada perekonomian nasional diperkirakan semakin menguat, terutama didorong oleh kondisi ekonomi global yang lebih kondusif, kinerja neraca pembayaran yang lebih baik, kemampuan stimulus fiskal yang lebih besar dan intensifnya upaya pemerintah memperbaiki iklim investasi. PDB 2006 diperkirakan tumbuh sedikit lebih tinggi sehingga mendekati batas atas kisaran proyeksi 5,0-5,7%</t>
  </si>
  <si>
    <t>S130</t>
  </si>
  <si>
    <t>Ke depan, perkembangan ekonomi global dan domestik diperkirakan akan terus membaik. Pertumbuhan ekonomi pada tahun 2010 diperkirakan dapat mencapai kisaran 6,0% - 6,3%. Sementara, pertumbuhan ekonomi untuk tahun 2011 diperkirakan mencapai kisaran 6,0%-6,5%. Pertumbuhan tersebut didukung oleh konsumsi rumah tangga yang tetap kuat, peningkatan kinerja sektor eksternal sejalan dengan pemulihan ekonomi global yang terus berlangsung, serta peningkatan investasi seiring dengan menguatnya permintaan domestik dan eksternal. Di sisi harga, Dewan Gubernur mencatat adanya risiko yang dapat mendorong inflasi. Pertama , kecenderungan peningkatan permintaan yang lebih cepat dari penawaran. Kedua , anomali cuaca yang kemungkinan masih berlanjut dan berpotensi mengganggu kegiatan produksi serta distribusi bahan kebutuhan pokok. Ketiga , kemungkinan adanya rencana kenaikan administered prices. Bank Indonesia terus mencermati potensi tekanan inflasi tersebut dan meningkatkan koordinasi kebijakan bersama Pemerintah baik di tingkat pusat maupun daerah, serta akan melakukan respon dengan bauran kebijakan yang diperlukan agar inflasi tetap berada pada sasaran yang ditetapkan, yaitu 5%±1% pada tahun 2010 dan 2011 dan 4,5%±1% pada tahun 2012 Laporan lengkap mengenai perkembangan makroekonomi dan kebijakan moneter serta prospek ke depan dapat dilihat pada Laporan Kebijakan Moneter (LKM) di website Bank Indonesia ( www.bi.go.id ). Jakarta, 5 Oktober 2010 Direktorat Perencanaan Strategis dan Hubungan Masyarakat Dyah N.K. Makhijani Direktur</t>
  </si>
  <si>
    <t>S131</t>
  </si>
  <si>
    <t>Untuk memperkuat stabilitas nilai tukar Rupiah dan pencapaian sasaran inflasi, Bank Indonesia terus mengoptimalkan berbagai instrumen moneter. pro-market , yaitu SRBI, SVBI, dan SUVBI. Kebijakan ini juga dimaksudkan untuk mempercepat upaya pendalaman pasar uang dan mendukung aliran masuk modal asing ke dalam negeri. Hingga 15 Juli 2024, posisi instrumen SRBI, SVBI, dan SUVBI masing-masing tercatat sebesar Rp775,45 triliun, 1,82 miliar dolar AS, dan 267 juta dolar AS. Penerbitan SRBI telah mendukung aliran masuk portofolio asing ke dalam negeri, tecermin dari kepemilikan nonresiden yang mencapai Rp220,35 triliun (28,42% dari total outstanding ). Implementasi Primary Dealer (PD) sejak Mei 2024 juga memperkuat efektivitas SRBI sebagai instrumen moneter dalam mendukung stabilitas nilai tukar Rupiah dan pengendalian inflasi. Ke depan, Bank Indonesia akan terus mengoptimalkan berbagai inovasi instrumen pro-market baik dari sisi volume maupun daya tarik imbal hasil, dan didukung kondisi fundamental ekonomi domestik yang kuat, untuk mendorong berlanjutnya aliran masuk portofolio asing ke pasar keuangan domestik</t>
  </si>
  <si>
    <t>S132</t>
  </si>
  <si>
    <t>Di sektor keuangan, respons suku bunga perbankan terhadap penurunan BI Rate mulai membaik. Penyaluran kredit perbankan juga mulai menunjukkan perbaikan walaupun masih tumbuh sangat lambat. Masih terbatasnya penyaluran kredit terutama bersumber dari masih rendahnya permintaan kredit terkait dengan masih rendahnya kegiatan investasi. Di sisi mikro, industri perbankan dalam kondisi stabil seperti yang tercermin dari masih tingginya tingkat kecukupan modal CAR dan terjaganya NPL dibawah 5%. Dengan fundamental industri perbankan yang kuat, penyaluran kredit diharapkan terus meningkat seiring dengan semakin kondusifnya sektor riil ke depan. Bank Indonesia bersama dengan Pemerintah dan Perbankan akan terus berkoordinasi untuk mengambil langkah-langkah dalam rangka mengoptimalkan intermediasi perbankan pada Semester II 2009 ini Laporan lengkap mengenai pembahasan Rapat Dewan Gubernur (RDG) Agustus 2009 yang memuat perkembangan makroekonomi dan moneter dapat dilihat dalam Tinjauan Kebijakan Moneter (TKM) . Jakarta, 5 Agustus 2009 Bank Indonesia Direktorat Perencanaan Strategis dan Hubungan Masyarakat Dyah N.K. Makhijani Direktur</t>
  </si>
  <si>
    <t>S133</t>
  </si>
  <si>
    <t>Nilai tukar Rupiah tetap terkendali di tengah ketidakpastian global, didukung oleh kebijakan stabilisasi Bank Indonesia. Nilai tukar Rupiah pada 21 Oktober 2025 tercatat sebesar Rp16.585 per dolar AS, atau menguat 0,45% (ptp) dibandingkan dengan level pada akhir September 2025. Rupiah sempat melemah pada September 2025 sebesar 1,05% (ptp) dibandingkan dengan level pada akhir Agustus 2025 sejalan dengan ketidakpastian yang cukup tinggi. Guna menjaga stabilitas nilai tukar Rupiah, Bank Indonesia menempuh langkah stabilisasi melalui intervensi di pasar spot dan pasar NDF baik di off - shore maupun on-shore (DNDF), serta pembelian SBN di pasar sekunder. Respons kebijakan ini memberikan hasil positif, tecermin dari perkembangan Rupiah yang kembali menguat pada Oktober 2025. Peningkatan konversi valas ke Rupiah oleh eksportir seiring penerapan penguatan kebijakan Devisa Hasil Ekspor Sumber Daya Alam (DHE SDA) juga mendukung tetap terkendalinya nilai tukar Rupiah. Ke depan, nilai tukar Rupiah diprakirakan tetap stabil didukung komitmen Bank Indonesia dalam menjaga stabilitas nilai tukar Rupiah, imbal hasil yang menarik, inflasi yang rendah, dan tetap baiknya prospek pertumbuhan ekonomi Indonesia. Bank Indonesia terus memperkuat respons kebijakan stabilisasi di tengah tingginya ketidapkastian global, termasuk melalui intervensi terukur di pasar spot , off-shore NDF dan domestik NDF, serta pembelian SBN di pasar sekunder</t>
  </si>
  <si>
    <t>S134</t>
  </si>
  <si>
    <t>Sejak Mei 2006, Bank Indonesia secara hati-hati dan terukur (cautious easing) mulai menurunkan suku bunga BI Rate. Hingga akhir tahun 2006, BI Rate mencapai 9,75% atau mengalami penurunan sebesar 300 basis points dari levelnya di awal tahun. Berlanjutnya penurunan suku bunga ini direspon positif pelaku pasar dan disambut baik dunia usaha. Ini tercermin dari terus meningkatnya harga saham dan akhirnya ditutup pada level 1.805, menurunnya suku bunga jangka panjang ( yield obligasi), dan mulai tumbuhnya keyakinan konsumen. Namun demikian, Penurunan BI Rate masih ditransmisikan secara terbatas ke suku bunga kredit. Oleh karena itu, langkah pelonggaran kebijakan moneter ini juga dibarengi dengan beberapa upaya menyesuaikan definisi dari beberapa peraturan perbankan terkait dengan Batas Maksimum Pemberian Kredit (BMPK). Demikian pula, beberapa upaya ditempuh untuk semakin memperkuat sistem pembayaran nasional yang efisien, cepat, dan handal guna menunjang kelancaran kegiatan ekonomi</t>
  </si>
  <si>
    <t>S135</t>
  </si>
  <si>
    <t>Nilai tukar rupiah pada bulan Juli 2005. mengalami tekanan depresiasi sehingga secara rata-rata bulanan mencapai Rp9.810 per dolar AS atau melemah 0,83% dari bulan sebelumnya. Pelemahan rupiah tersebut dipengaruhi oleh berbagai faktor. Dari sisi fundamental, tekanan pada kinerja neraca pembayaran, terutama akibat meningkatnya harga minyak dunia dan meningkatnya impor bahan baku dan barang modal, menyebabkan meningkatnya permintaan valas di dalam negeri. Dengan masih terbatasnya pasokan valas dari kinerja ekspor dan FDI, kesenjangan antara permintaan dan penawaran valas memberikan tekanan terhadap nilai tukar Rupiah. Dari sisi eksternal, penguatan dolar AS secara global sehubungan dengan kenaikan suku bunga di Amerika ikut mendorong pelemahan Rupiah. Sementara itu, kinerja industri perbankan relatif membaik seperti tercermin dari meningkatnya intermediasi yang didukung oleh permodalan yang stabil. Dalam bulan Juni 2005, Dana Pihak Ketiga (DPK) tercatat sebesar Rp1,01 triliun, sementara penyaluran kredit baru tercatat mencapai Rp6,5 triliun. Dengan perkembangan tersebut, LDR mengalami peningkatan dari 52,9% menjadi 53,1%, yang mengindikasikan membaiknya fungsi intermediasi perbankan. Kondisi permodalan tercatat relatif stabil pada tingkat sebesar 19,5%. Sementara itu, rentabilitas perbankan juga masih memadai seperti ditunjukkan oleh return on asset (ROA) dan net interest income (NII) yang moderat pada tingkat 2,2% dan 6,1% Mencermati berbagai perkembangan terkini, Dewan Gubernur memandang bahwa ke depan terdapat beberapa faktor risiko yang dapat menganggu kestabilan makroekonomi. Dari sisi eksternal, perkembangan harga minyak yang masih terus meningkat serta kemungkinan melemahnya mata uang dunia terhadap dolar AS perlu terus dicermati. Dari sisi domestik, tekanan nilai tukar perlu terus diwaspadai terutama terkait dengan permasalahan struktural pasar valas domestik dan kondisi ekses likuiditas perbankan yang masih besar. Berdasarkan perkembangan makroekonomi terkini dan prospek perekonomian ke depan, terdapat risiko tekanan terhadap inflasi IHK 2005 yang lebih besar terutama terkait dengan perkembangan harga minyak dunia yang selanjutnya dapat meningkatkan administered prices dan pelemahan nilai tukar rupiah. Dengan perkembangan tersebut ekspektasi inflasi diperkirakan akan meningkat. Mempertimbangkan berbagai hal di atas dan dalam rangka menjaga konsistensi dengan upaya pencapaian sasaran inflasi jangka menengah, maka kebijakan moneter yang cenderung ketat akan tetap dilanjutkan. Dengan pertimbangan adanya peningkatan ekspektasi inflasi serta peningkatan risiko stabilitas makro ekonomi, maka BI rate yang saat ini berlaku sebesar 8,50% dinaikkan 25 bps menjadi 8,75%. Untuk mendukung implementasi BI Rate tersebut, secara operasional upaya pengelolaan likuiditas perbankan melalui Operasi Pasar Terbuka (OPT) dengan menggunakan SBI dan FASBI serta instrumen FTO ( Fine Tune Operation ) akan terus dilanjutkan. Selain itu, penggunaan sterilisasi valas secara terukur akan ditempuh sesuai kebutuhan untuk membantu penyerapan likuiditas sekaligus mengurangi volatilitas nilai tukar rupiah di pasar valas. Koordinasi dengan Pemerintah juga akan terus dilakukan dalam kerangka upaya menjaga stabilisasi nilai Rupiah</t>
  </si>
  <si>
    <t>S136</t>
  </si>
  <si>
    <t>Inflasi terjaga dan berada dalam tren yang menurun sehingga mendukung prospek pencapaian sasaran inflasi 2014 yakni 4,5±1%. Inflasi triwulan III 2014 tercatat 4,53% (yoy), menurun dibandingkan 6,70% (yoy) pada triwulan sebelumnya. Inflasi yang tetap terjaga tersebut didukung oleh inflasi inti dan volatile food yang terkendali. Terkendalinya Inflasi inti didukung oleh penurunan harga komoditas global, permintaan yang moderat dan ekspektasi inflasi yang terjaga. Sementara itu, inflasi volatile food juga tercatat relatif rendah, seiring dengan tercukupinya pasokan pangan. Sebaliknya, inflasi administered prices meningkat terutama didorong oleh kenaikan TTL RT dan LPG 12 kg. Inflasi yang terkendali berlanjut pada bulan Oktober 2014, meskipun mencatat kenaikan menjadi 4,83% (yoy). Bank Indonesia terus mencermati berbagai risiko inflasi, khususnya rencana penyesuaian harga BBM bersubsidi, yang terindikasi pada meningkatnya ekpektasi inflasi. Menghadapi hal tersebut, Bank Indonesia akan menempuh sejumlah kebijakan untuk memastikan dampak kenaikan BBM terhadap inflasi tetap terkendali dan temporer, termasuk dengan memperkuat koordinasi pengendalian inflasi dengan Pemerintah Pusat dan Pemerintah Daerah</t>
  </si>
  <si>
    <t>S137</t>
  </si>
  <si>
    <t>Kedepan, kebijakan Bank Indonesia pada tahun 2015 tetap difokuskan untuk menjaga stabilitas makroekonomi dan stabilitas sistem keuangan melalui penguatan bauran kebijakan di bidang moneter, makroprudensial, dan sistem pembayaran. Di bidang moneter, kebijakan akan tetap secara konsisten diarahkan untuk mengendalikan inflasi menuju sasarannya dan defisit transaksi berjalan ke tingkat yang sehat, melalui kebijakan suku bunga dan stabilisasi nilai tukar sesuai nilai fundamentalnya. Di bidang makroprudensial, relaksasi ketentuan makroprudensial akan dilakukan secara selektif guna memperluas sumber-sumber pendanaan bagi perbankan sekaligus mendukung pendalaman pasar keuangan dan mendorong penyaluran kredit ke sektor-sektor produktif yang prioritas. Sementara itu, di bidang sistem pembayaran, kebijakan diarahkan untuk mengembangkan industri sistem pembayaran domestik yang lebih efisien. Berbagai kebijakan tersebut akan disertai dengan peningkatan koordinasi dengan Pemerintah dan institusi terkait sehingga stabilitas makroekonomi tetap terjaga, dengan struktur perekonomian yang semakin kuat dan mendukung pertumbuhan ekonomi yang lebih tinggi Jakarta, 15 Januari 2015 Departemen Komunikasi Tirta Segara Direktur Eksekutif Laporan lengkap mengenai perkembangan ekonomi makro dan kebijakan moneter yang dibahas pada RDG Januari 2015 dapat dilihat dalam Laporan Kebijakan Moneter Januari 2015</t>
  </si>
  <si>
    <t>S138</t>
  </si>
  <si>
    <t>Nilai tukar Rupiah terdepresiasi sejalan dengan mata uang regional lainnya, seiring dengan meningkatnya ketidakpastian pasar keuangan global. Nilai tukar Rupiah pada 23 Mei 2022 terdepresiasi 1,20% dibandingkan dengan akhir April 2022. Depresiasi tersebut disebabkan oleh aliran modal asing keluar sejalan dengan meningkatnya ketidakpastian pasar keuangan global di tengah terjaganya pasokan valas domestik dan persepsi positif terhadap prospek perekonomian Indonesia. Dengan perkembangan ini, nilai tukar Rupiah sampai dengan 23 Mei 2022 terdepresiasi sekitar 2,87% dibandingkan dengan level akhir 2021, relatif lebih baik dibandingkan dengan depresiasi mata uang sejumlah negara berkembang lainnya, seperti India 4,11%, Malaysia 5,10%, dan Korea Selatan 5,97%. Ke depan, stabilitas nilai tukar Rupiah diprakirakan tetap terjaga didukung oleh kondisi fundamental ekonomi Indonesia yang tetap baik, terutama oleh lebih rendahnya defisit transaksi berjalan dan supply valas dari korporasi yang terus berlanjut. Bank Indonesia akan terus memperkuat kebijakan stabilisasi nilai tukar Rupiah sesuai dengan bekerjanya mekanisme pasar dan fundamental ekonomi</t>
  </si>
  <si>
    <t>S139</t>
  </si>
  <si>
    <t>Stabilitas sistem perbankan tetap terjaga yang disertai terus membaiknya fungsi intermediasi perbankan dalam mendukung pembiayaan perekonomian. Stabilitas industri perbankan tercermin pada tingginya rasio kecukupan modal (CAR/Capital Adequacy Ratio) yang berada jauh di atas minimum 8% dan terjaganya rasio kredit bermasalah (NPL/Non Performing Loan) gross di bawah 5%. Sementara itu, penyaluran kredit untuk pembiayaan kegiatan perekonomian terus berlanjut, tercermin pada pertumbuhan kredit yang pada Juni 2011 mencapai 23,4%(yoy). Pertumbuhan kredit tertinggi terjadi pada kredit investasi yang sampai dengan bulan Mei 2011 tercatat sebesar 29,0% (yoy). Bank Indonesia terus mendorong peningkatan efisiensi perbankan agar fungsi intermediasi dapat terus dioptimalkan dengan tetap menjaga stabilitas sistem perbankan secara keseluruhan Laporan lengkap mengenai pembahasan Rapat Dewan Gubernur (RDG) Juli 2011 yang memuat perkembangan makroekonomi, kebijakan moneter dan prospek 2011-2012 dapat dilihat dalam Laporan Kebijakan Moneter (LKM) di website Bank Indonesia . Jakarta, 12 Juli 2011</t>
  </si>
  <si>
    <t>S140</t>
  </si>
  <si>
    <t>Tekanan inflasi di bulan Juni 2015 lebih rendah dari yang diperkirakan. Inflasi IHK Juni 2015 mencapai 0,54% (mtm) atau 7,26% (yoy). Dengan perkembangan tersebut, inflasi IHK sejak Januari s.d. Juni 2015 tercatat masih rendah yaitu sebesar 0,96% (ytd). Inflasi Inti juga terkendali sebesar 0,26% (mtm) atau sebesar 1,99% (ytd) dan 5,04% (yoy), sejalan dengan terjaganya ekspektasi inflasi. Berdasarkan perkembangan inflasi sampai dengan Juni 2015, Bank Indonesia memandang bahwa target inflasi 2015 sebesar 4±1% akan dapat dicapai</t>
  </si>
  <si>
    <t>S141</t>
  </si>
  <si>
    <t>Nilai tukar rupiah tetap dalam tren menguat dan cenderung berada di bawah prakiraan pada awal tahun sejalan dengan masih besarnya aliran modal masuk jangka pendek. Dari sisi moneter, pelaksanaan kebijakan moneter secara lebih optimal sejauh ini mampu menjaga kondisi moneter di tengah masih besarnya aliran masuk modal asing. Inflasi pada April 2006 tercatat 0,05% (mtm) atau 15,1% (yoy) dan secara kumulatif sampai dengan April 2006 tercatat 2,03% (ytd). Dengan perkembangan positif tersebut dan adanya kecenderungan penurunan ekspektasi inflasi masyarakat yang berlanjut maka inflasi IHK 2006 diperkirakan dapat berada di kisaran bawah proyeksi 8 ± 1%</t>
  </si>
  <si>
    <t>S142</t>
  </si>
  <si>
    <t>Pertumbuhan ekonomi Indonesia tetap terjaga ditopang konsumsi rumah tangga, ekspansi fiskal, dan perbaikan ekspor. Perkembangan terkini menunjukkan keyakinan konsumen meningkat bersamaan dengan pola musiman jelang akhir tahun sehingga dapat menopang konsumsi rumah tangga tetap baik. Perkembangan positif ini diperkuat ekspansi fiskal sejalan dengan pola musiman akhir tahun sehingga makin mendorong pertumbuhan ekonomi triwulan IV-2019. Perbaikan ekspor antara lain dipengaruhi naiknya ekspor pulp , waste paper dan serat tekstil ke Tiongkok, masih kuatnya ekspor besi baja ke Tiongkok dan ASEAN, serta berlanjutnya ekspor kendaraan bermotor ke ASEAN dan Arab Saudi. Investasi mulai tercatat meningkat di beberapa daerah seperti di Sulawesi terkait hilirisasi nikel, dan diperkirakan akan terus meningkat dengan sejumlah kebijakan transformasi ekonomi yang ditempuh Pemerintah dan mulai meningkatnya keyakinan dunia usaha. Investasi bangunan juga terus membaik didorong peningkatan kegiatan konstruksi. Dengan perkembangan tersebut, pertumbuhan ekonomi triwulan IV-2019 diprakirakan membaik sehingga secara keseluruhan tahun 2019 dapat mencapai sekitar 5,1% dan meningkat dalam kisaran 5,1-5,5% pada tahun 2020</t>
  </si>
  <si>
    <t>S143</t>
  </si>
  <si>
    <t>Nilai tukar yang mengalami tekanan depresiasi pada Triwulan II dan III-2012 kembali bergerak stabil pada Triwulan IV-2012. Tekanan depresiasi Rupiah pada Triwulan II dan III-2012 terutama akibat ketidakpastian ekonomi global dan tekanan pada neraca pembayaran Indonesia. Pada Triwulan IV-2012 intensitas depresiasi menurun dan Rupiah bergerak stabil sejalan dengan kebijakan yang ditempuh Bank Indonesia untuk melakukan stabilisasi nilai tukar Rupiah sesuai dengan tingkat fundamentalnya. Pada bulan November 2012, Rupiah secara point-to-point menguat sebesar 0,12% (mtm) ke level Rp9.594 per dolar AS atau secara rata-rata melemah 0,25% (mtm) menjadi Rp9.617 per dolar AS. Kedepan, nilai tukar Rupiah akan bergerak stabil didukung oleh kondisi neraca pembayaran yang diprakirakan akan tetap surplus</t>
  </si>
  <si>
    <t>S144</t>
  </si>
  <si>
    <t>Kinerja Neraca Pembayaran Indonesia (NPI) perlu terus diperkuat di tengah memburuknya perekonomian dan pasar keuangan global. Surplus neraca perdagangan barang turun dari 7,6 miliar dolar AS pada triwulan IV 2025 menjadi 5,5 miliar dolar AS pada triwulan I 2026. Sementara itu, aliran modal pada triwulan I 2026 tercatat net outflows sebesar 0,8 miliar dolar AS. Perkembangan ini perlu direspon dengan penguatan sinergi kebijakan antara Pemerintah dan Bank Indonesia sehingga kinerja neraca pembayaran dapat terus mendukung ketahanan eksternal perekonomian nasional dan sekaligus memperkuat stabilitas nilai tukar Rupiah dalam menghadapi gejolak global akibat perang Timur Tengah. Dari sisi Bank Indonesia, suku bunga Sekuritas Rupiah Bank Indonesia (SRBI) dinaikkan menjadi 6,21%, 6,31% dan 6,45% masing-masing untuk tenor 6, 9 dan 12 bulan pada tanggal 13 Mei 2026. Berbagai respons kebijakan yang ditempuh dapat mendorong kembali masuknya investasi portofolio asing pada triwulan II 2026 yang mencatatkan net inflows sebesar 5,5 miliar dolar AS (hingga 18 Mei 2026), terutama ditopang oleh aliran masuk modal asing ke SRBI dan SBN didorong oleh meningkatnya imbal hasil di kedua instrumen tersebut. Posisi cadangan devisa Indonesia pada akhir April 2026 tetap terjaga sebesar 146,2 miliar dolar AS, setara dengan pembiayaan 5,8 bulan impor atau 5,6 bulan impor dan pembayaran utang luar negeri Pemerintah, serta berada di atas standar kecukupan internasional sekitar 3 bulan impor. Ke depan, Bank Indonesia memprakirakan defisit transaksi berjalan 2026 dalam kisaran defisit 1,3% sampai dengan 0,5% dari PDB. Karenanya, penguatan sinergi kebijakan Pemerintah dan Bank Indonesia perlu diperkuat untuk meningkatkan surplus neraca modal dan finansial guna menjaga ketahanan eksternal perekonomian nasional dan sekaligus memperkuat stabilitas nilai tukar Rupiah dalam menghadapi gejolak global</t>
  </si>
  <si>
    <t>S145</t>
  </si>
  <si>
    <t>Dewan Gubernur memandang bahwa pemulihan ekonomi global ke depan lebih baik sebagaimana terlihat dari penyesuaian ke atas proyeksi pertumbuhan ekonomi global oleh berbagai lembaga internasional. Optimisme global yang membaik ini akan berdampak pada volume perdagangan dunia yang juga meningkat. Hal tersebut akan berpengaruh positif terhadap permintaan terhadap produk ekspor sehingga turut mendorong pertumbuhan ekonomi domestik. Namun, proses pemulihan ekonomi global ini masih menghadapi risiko ketidakpastian terkait krisis utang yang melanda sejumlah negara di Eropa dan potensi gangguan proses produksi paska gempa di Jepang. Selain itu, kenaikan harga minyak dan komoditi pangan dunia diperkirakan masih berlanjut sehingga memberikan tekanan inflasi di banyak negara maju dan emerging economies , termasuk Indonesia</t>
  </si>
  <si>
    <t>S146</t>
  </si>
  <si>
    <t>Inflasi bulan April 2008 tercatat sebesar 0,57% (mtm) atau secara tahunan (April 2007-April 2008) menjadi 8,96%. Angka ini meningkat cukup tinggi dibandingkan inflasi tahunan pada bulan Maret 2008 (8,17%). Kelompok harga barang yang ditentukan pemerintah ( administered price ) secara bulanan meningkat signifikan dibandingkan bulan sebelumnya, terkait dengan tersendatnya pasokan dan distribusi minyak tanah di beberapa daerah</t>
  </si>
  <si>
    <t>S147</t>
  </si>
  <si>
    <t>S148</t>
  </si>
  <si>
    <t>Perbaikan kinerja sektor eksternal tersebut berdampak positif pada Neraca Pembayaran Indonesia (NPI). Ekspor yang tumbuh tinggi mendorong surplus transaksi berjalan. Sementara itu, tingginya aliran modal masuk sejalan dengan meningkatnya keyakinan investor internasional terhadap prospek perekonomian domestik yang membaik telah menyebabkan surplus transaksi modal dan finansial. Dengan perkembangan ini, cadangan devisa Indonesia sampai dengan akhir April 2010 mencapai USD78,6 miliar atau setara dengan 6,2 bulan impor dan pembayaran utang luar negeri pemerintah. Perkembangan NPI yang membaik tersebut menyebabkan apresiasi nilai tukar Rupiah cukup signifikan dengan volatilitas yang menurun. Penguatan nilai tukar secara signifikan juga dialami oleh hampir semua negara di kawasan</t>
  </si>
  <si>
    <t>S149</t>
  </si>
  <si>
    <t>Tantangan yang dihadapi ekonomi Indonesia selama 2015 tidak terlepas dari dinamika perkembangan ekonomi dan keuangan global, yaitu pertumbuhan ekonomi dunia yang melambat, harga komoditas yang menurun, dan pasar keuangan yang masih bergejolak. Pertumbuhan ekonomi dunia melambat dipengaruhi oleh pemulihan ekonomi negara maju yang belum solid dan pertumbuhan ekonomi negara berkembang yang cenderung menurun. Ekonomi AS tumbuh moderat ditopang oleh konsumsi dan membaiknya sektor perumahan, sementara ekspansi manufaktur dan ekspor masih tertahan. Pemulihan ekonomi Eropa terutama didorong oleh perbaikan permintaan domestik, meskipun belum mampu meningkatkan inflasi yang masih rendah. Sementara itu, perekonomian Tiongkok terus melemah sejalan dengan rebalancing ekonominya dari investment driven menjadi consumption driven. Ke depan, di tengah prospek pemulihan ekonomi global yang membaik, sejumlah risiko eksternal masih perlu diwaspadai, khususnya perlambatan ekonomi Tiongkok dan kondisi pasar keuangan global pascakenaikan Fed Fund Rate (FFR)</t>
  </si>
  <si>
    <t>S150</t>
  </si>
  <si>
    <t>Nilai tukar rupiah menguat dengan volatilitas yang lebih rendah. Secara rata-rata nilai tukar rupiah menguat 0,4% menjadi Rp9.138 per USD disertai tingkat volatilitas yang menurun menjadi 0,3%. Kondisi tersebut ditopang oleh membaiknya kondisi makroekonomi di dalam negeri yang tercermin pada surplus neraca pembayaran yang cukup besar, berlanjutnya tren penurunan inflasi, imbal hasil Rupiah yang masih terjaga, serta faktor risiko eksternal yang minimal</t>
  </si>
  <si>
    <t>S151</t>
  </si>
  <si>
    <t>Stabilitas sistem keuangan tetap terjaga yang disertai dengan terus membaiknya fungsi intermediasi perbankan. Perkembangan industri perbankan semakin solid sebagaimana tercermin pada tingginya rasio kecukupan modal (CAR/Capital Adequacy Ratio) yang berada jauh di atas minimum 8% dan terjaganya rasio kredit bermasalah (NPL/Non Performing Loan) gross di bawah 5%. Sementara itu, intermediasi perbankan juga terus membaik, tercermin dari pertumbuhan kredit yang hingga akhir Desember 2011 mencapai 24,5% (yoy), di mana kredit investasi tumbuh sebesar 33,2% (yoy), kredit modal kerja tumbuh sebesar 21,4% (yoy), dan kredit konsumsi tumbuh sebesar 24,1% (yoy)</t>
  </si>
  <si>
    <t>S152</t>
  </si>
  <si>
    <t>Stabilitas sistem keuangan tetap terjaga disertai intermediasi perbankan yang meningkat dan risiko kredit yang terkelola dengan baik. Rasio kecukupan modal ( Capital Adequacy Ratio /CAR) perbankan tetap tinggi mencapai 22,9% pada Oktober 2018 dan rasio likuiditas (AL/DPK) masih aman yakni sebesar 19,2% pada Oktober 2018. Selain itu, rasio kredit bermasalah ( Non Performing Loan /NPL) tetap rendah yaitu sebesar 2,6% ( gross ) atau 1,2% (net). Dari fungsi intermediasi perbankan, pertumbuhan kredit pada Oktober 2018 tercatat sebesar 13,3% (yoy), lebih tinggi dibandingkan dengan pertumbuhan bulan sebelumnya sebesar 12,7% (yoy). Adapun pertumbuhan Dana Pihak Ketiga (DPK) pada Oktober 2018 sebesar 7,6% (yoy), meningkat dibandingkan dengan pertumbuhan bulan sebelumnya sebesar 6,6% (yoy). Sementara itu, pembiayaan ekonomi melalui pasar modal, penerbitan saham (IPO dan rights issue ), obligasi korporasi, Medium Term Notes (MTN), dan Negotiable Certificate of Deposit (NCD) selama Januari s.d. Oktober 2018 tercatat sebesar Rp178,9 triliun ( gross ), turun dibandingkan dengan capaian periode yang sama pada 2017 sebesar Rp231,6 triliun ( gross ). Pada 2019, Bank Indonesia memprakirakan pertumbuhan kredit berada dalam kisaran 10-12% (yoy) sedangkan pertumbuhan DPK diprakirakan sekitar 8-10% (yoy). Ke depan, Bank Indonesia akan terus berkoordinasi dengan otoritas terkait guna turut menjaga stabilitas sistem keuangan, termasuk memantau kecukupan dan distribusi likuiditas di perbankan</t>
  </si>
  <si>
    <t>S153</t>
  </si>
  <si>
    <t>Pertumbuhan ekonomi triwulan I-2019 diprakirakan tetap kuat ditopang permintaan domestik. Konsumsi tetap tinggi didukung terjaganya daya beli dan keyakinan masyarakat serta berlanjutnya stimulus fiskal, termasuk melalui bantuan sosial dan belanja terkait Pemilu. Investasi sedikit melambat sejalan pola musiman awal tahun dan diprakirakan kembali menguat pada triwulan-triwulan berikutnya didukung keyakinan dunia usaha yang membaik serta proyek infrastruktur yang berlanjut. Namun demikian, peran ekspor neto belum kuat sejalan dampak melambatnya pertumbuhan ekonomi global dan menurunnya harga komoditas. Ke depan, prospek pertumbuhan ekonomi tetap kuat ditopang permintaan domestik sejalan keyakinan pelaku ekonomi yang tetap terjaga. Bauran kebijakan Bank Indonesia, Pemerintah, dan otoritas terkait akan terus diperkuat guna menjaga momentum pertumbuhan ekonomi domestik yang diprakirakan berada dalam kisaran 5,0-5,4%</t>
  </si>
  <si>
    <t>S154</t>
  </si>
  <si>
    <t>S155</t>
  </si>
  <si>
    <t>S156</t>
  </si>
  <si>
    <t>Sejalan dengan kebijakan moneter dan makroprudensial akomodatif yang ditempuh Bank Indonesia, kondisi likuiditas tetap longgar, sehingga mendorong suku bunga terus menurun dan mendukung pembiayaan perekonomian. Hingga 15 Desember 2020, Bank Indonesia telah menambah likuiditas ( quantitative easing ) di perbankan sekitar Rp694,87 triliun, terutama bersumber dari penurunan Giro Wajib Minimum (GWM) sekitar Rp155 triliun dan ekspansi moneter sekitar Rp524,07 triliun. Longgarnya kondisi likuiditas mendorong tingginya rasio Alat Likuid terhadap Dana Pihak Ketiga (AL/DPK) yakni 31,52% pada November 2020 dan rendahnya rata-rata suku bunga PUAB overnight , sekitar 3,20% pada November 2020. Longgarnya likuiditas serta penurunan BI7DRR berkontribusi menurunkan suku bunga deposito dan kredit modal kerja dari 4,93% dan 9,38% pada Oktober 2020 menjadi 4,74% dan 9,32% pada November 2020. Penurunan suku bunga kredit diperkirakan akan berlanjut dengan longgarnya likuiditas dan rendahnya suku bunga kebijakan Bank Indonesia. Imbal hasil SBN 10 tahun turun dari 6,16% pada akhir November 2020 menjadi 6,07% pada 16 Desember 2020. Dari besaran moneter, pertumbuhan besaran moneter M1 dan M2 pada November 2020 tetap tinggi, yaitu sebesar 15,8% (yoy) dan 12,2% (yoy). Ke depan, ekspansi moneter Bank Indonesia dan percepatan realisasi anggaran serta program restrukturisasi kredit perbankan diharapkan dapat mendorong penyaluran kredit dan pembiayaan bagi pemulihan ekonomi nasional</t>
  </si>
  <si>
    <t>S157</t>
  </si>
  <si>
    <t>Dengan langkah-langkah stabilisasi Bank Indonesia, nilai tukar Rupiah relatif terkendali di tengah tingginya tekanan pada Agustus-September 2020. Hingga 16 September 2020, nilai tukar Rupiah tercatat depresiasi 1,58% secara point to point dibandingkan dengan akhir Juli 2020, atau terdepresiasi 6,42% dari akhir Desember 2019. Pelemahan Rupiah pada Agustus-September 2020 antara lain dipengaruhi masih tingginya ketidakpastian pasar keuangan, baik karena faktor global maupun sejumlah risiko domestik. Ke depan, Bank Indonesia memandang nilai tukar Rupiah berpotensi kembali menguat seiring levelnya yang secara fundamental masih undervalued didukung inflasi yang rendah dan terkendali, defisit transaksi berjalan yang rendah, daya tarik aset keuangan domestik yang tinggi, dan premi risiko Indonesia yang menurun. Bank Indonesia terus memperkuat kebijakan stabilisasi nilai tukar Rupiah sesuai dengan fundamentalnya dan bekerjanya mekanisme pasar, melalui efektivitas operasi moneter dan ketersediaan likuiditas di pasar</t>
  </si>
  <si>
    <t>S158</t>
  </si>
  <si>
    <t>S159</t>
  </si>
  <si>
    <t>Inflasi tetap rendah sejalan permintaan yang belum kuat dan pasokan yang memadai. Indeks Harga Konsumen (IHK) pada September 2020 tercatat deflasi 0,05% (mtm) sehingga inflasi IHK sampai September 2020 tercatat 0,89% (ytd). Secara tahunan, inflasi IHK tercatat rendah yakni sebesar 1,42% (yoy), meskipun lebih tinggi dari inflasi Agustus 2020 sebesar 1,32% (yoy). Inflasi yang rendah dipengaruhi turunnya inflasi inti sejalan permintaan domestik yang belum kuat serta konsistensi Bank Indonesia mengarahkan ekspektasi inflasi dalam kisaran target dan menjaga stabilitas nilai tukar. Inflasi kelompok volatile food tetap rendah dipengaruhi berlanjutnya penurunan harga bahan pangan seiring permintaan domestik yang belum kuat, pasokan yang memadai sejalan panen di beberapa sentra produksi, distribusi yang terjaga, dan harga komoditas pangan global yang rendah. Selain itu, inflasi kelompok administered prices melambat terutama didorong berlanjutnya penurunan tarif angkutan udara. Bank Indonesia memprakirakan inflasi 2020 lebih rendah dari batas bawah target inflasi dan kembali ke dalam sasarannya 3,0% ± 1% pada 2021. Bank Indonesia konsisten menjaga stabilitas harga dan memperkuat koordinasi kebijakan dengan Pemerintah, baik di tingkat pusat maupun daerah, guna mengendalikan inflasi tetap dalam kisaran targetnya</t>
  </si>
  <si>
    <t>S160</t>
  </si>
  <si>
    <t>Proses pemulihan ekonomi global tertahan setelah Covid-19 (Corona Virus Disease 2019) merebak akhir Januari 2020. Kesepakatan tahap 1 perundingan perdagangan AS-Tiongkok sempat menurunkan ketidakpastian global dan meningkatkan optimisme pelaku ekonomi terhadap prospek pemulihan ekonomi global. Sejumlah indikator dini ekonomi global seperti keyakinan pelaku ekonomi, Purchasing Manager Index (PMI) dan pesanan ekspor menunjukan perbaikan pada Desember 2019-Januari 2020. Optimisme berubah setelah terjadinya Covid-19 yang diprakirakan akan menekan perekonomian Tiongkok dan menghambat keberlanjutan pemulihan ekonomi global, setidaknya pada triwulan I-2020. Bank Indonesia menurunkan proyeksi pertumbuhan ekonomi global tahun 2020 dari 3,1% menjadi 3,0%, dan kemudian meningkat menjadi 3,4% dari prakiraan semula 3,2% pada tahun 2021. Di pasar keuangan global, terjadinya Covid-19 telah meningkatkan risiko sehingga mendorong penyesuaian aliran dana global dari negara berkembang kepada aset keuangan dan komoditas yang dianggap aman, serta memberikan tekanan kepada mata uang negara berkembang. Ke depan, upaya penanggulangan Covid-19 perlu terus dicermati karena dapat memengaruhi prospek pertumbuhan ekonomi, volume perdagangan, dan harga komoditas dunia, serta pergerakan aliran modal ke negara berkembang, termasuk Indonesia</t>
  </si>
  <si>
    <t>S161</t>
  </si>
  <si>
    <t>S162</t>
  </si>
  <si>
    <t>Rapat Dewan Gubernur (RDG) Bank Indonesia pada 14-15 November 2018 memutuskan untuk menaikkan BI 7-day Reverse Repo Rate (BI7DRR) sebesar 25 bps menjadi 6,00%, suku bunga Deposit Facility sebesar 25 bps menjadi 5,25%, dan suku bunga Lending Facility sebesar 25 bps menjadi 6,75%. Keputusan tersebut sebagai langkah lanjutan Bank Indonesia untuk memperkuat upaya menurunkan defisit transaksi berjalan ke dalam batas yang aman. Kenaikan suku bunga kebijakan tersebut juga untuk memperkuat daya tarik aset keuangan domestik dengan mengantisipasi kenaikan suku bunga global dalam beberapa bulan ke depan. Untuk meningkatkan fleksibilitas dan distribusi likuiditas di perbankan, Bank Indonesia menaikkan porsi pemenuhan GWM Rupiah Rerata (konvensional dan syariah) dari 2% menjadi 3% serta meningkatkan rasio Penyangga Likuiditas Makroprudensial/PLM (konvensional dan syariah) yang dapat direpokan ke Bank Indonesia dari 2% menjadi 4%, masing-masing dari Dana Pihak Ketiga (DPK). Di bidang kebijakan makroprudensial, Bank Indonesia juga mempertahankan rasio Countercyclical Capital Buffer (CCB) sebesar 0% dan Rasio Intermediasi Makroprudensial (RIM) pada target kisaran 80-92%. Ke depan, Bank Indonesia akan mengoptimalkan bauran kebijakan guna memastikan tetap terjaganya stabilitas makroekonomi dan sistem keuangan. Bank Indonesia juga akan memperkuat koordinasi dengan Pemerintah dan otoritas terkait untuk menjaga stabilitas ekonomi dan memperkuat ketahanan eksternal, termasuk untuk mengendalikan defisit transaksi berjalan sehingga menurun menuju kisaran 2,5% PDB pada 2019. Bauran kebijakan Bank Indonesia dan Pemerintah diyakini akan dapat mengelola dampak perubahan ekonomi global sehingga perekonomian tetap berdaya tahan di tengah ketidakpastian global</t>
  </si>
  <si>
    <t>S163</t>
  </si>
  <si>
    <t>S164</t>
  </si>
  <si>
    <t>Stabilitas sistem perbankan tetap terjaga dan disertai dengan fungsi intermediasi yang semakin baik. Industri perbankan menunjukkan kinerja yang semakin solid sebagaimana tercermin pada tingginya rasio kecukupan modal (CAR/Capital Adequacy Ratio) yang berada jauh di atas minimum 8% dan terjaganya rasio kredit bermasalah (NPL/Non Performing Loan) gross di bawah 5%. Sementara itu, intermediasi perbankan juga terus membaik, tercermin dari pertumbuhan kredit yang hingga akhir Januari 2012 mencapai 23,7% (yoy). Kredit investasi tumbuh cukup tinggi,sebesar 38,1% (yoy) dan diharapkan dapat meningkatkan kapasitas perekonomian. Sementara itu, kredit modal kerja dan kredit konsumsi masing-masing tumbuh sebesar 20,2% (yoy) dan 20,3% (yoy)</t>
  </si>
  <si>
    <t>S165</t>
  </si>
  <si>
    <t>S166</t>
  </si>
  <si>
    <t>“Keputusan ini diambil setelah mencermati dan mempertimbangkan dengan seksama perkembangan keuangan dan ekonomi global akhir-akhir ini dan kemungkinan dampaknya terhadap perekonomian nasional. Bank Indonesia juga mencermati secara mendalam prospek perkembangan permintaan domestik, neraca pembayaran dan resiliensi sektor keuangan dalam negeri dalam konteks perubahan lingkungan global” demikian disampaikan Gubernur Bank Indonesia, Boediono. Selain itu, dalam upaya mengendalikan inflasi, Bank Indonesia tetap melakukan optimalisasi penggunaan seluruh instrumen kebijakan moneter yang tersedia. Kebijakan stabilisasi rupiah diarahkan pada upaya menghindari gejolak nilai tukar yang terlalu tajam. Perkembangan terhadap nilai tukar yang terjadi saat ini secara umum sejalan dengan perkembangan yang terjadi pada mata uang regional</t>
  </si>
  <si>
    <t>S167</t>
  </si>
  <si>
    <t>"Ke depan, Bank Indonesia memandang bahwa perekonomian masih akan menghadapi tantangan seiring dengan ketidakpastian yang menyelimuti perekonomian global. Pertumbuhan ekonomi Indonesia pada tahun 2008 diprakirakan melambat dibandingkan dengan tahun 2007. Tekanan inflasi yang masih tinggi diprakirakan akan memperberat upaya pencapaian sasaran inflasi yang telah ditetapkan, sedangkan nilai tukar rupiah diprakirakan masih akan bergerak sesuai dengan perkembangan faktor fundamentalnya", tambah Burhanuddin. Bank Indonesia akan senantiasa mencermati perkembangan aktivitas ekonomi dan inflasi, termasuk sumber-sumber inflasi, dalam waktu-waktu mendatang. Dalam kaitan ini, Bank Indonesia berpandangan bahwa dengan koordinasi yang semakin baik dan kerja keras seluruh pihak, maka dampak ketidakpastian perekonomian global dapat diminimalisir dan momentum pertumbuhan ekonomi dapat dipelihara. Jakarta, 3 April 2008 Direktorat Perencanaan Strategis dan Hubungan Masyarakat</t>
  </si>
  <si>
    <t>S168</t>
  </si>
  <si>
    <t>S169</t>
  </si>
  <si>
    <t>Pertumbuhan ekonomi Indonesia perlu terus didorong di tengah prospek perekonomian global yang melemah. Pada triwulan II 2025, pertumbuhan ekonomi ditopang oleh investasi nonbangunan terkait kegiatan di sektor transportasi. Kinerja ekspor cukup baik ditopang oleh ekspor berbasis sumber daya alam dan produk manufaktur. Sementara itu, konsumsi rumah tangga masih perlu ditingkatkan, tecermin pada penjualan eceran yang melambat. Secara sektoral, Lapangan Usaha (LU) Pertanian tetap tumbuh ditopang oleh kinerja subsektor LU Perkebunan dan dukungan program Pemerintah, sedangkan kinerja beberapa LU utama lainnya seperti LU Industri Pengolahan serta LU Penyediaan Akomodasi dan Makan Minum belum kuat. Secara spasial, ekonomi di wilayah Sulawesi-Maluku-Papua (Sulampua) ​diprakirakan tumbuh di atas 5%, sedangkan wilayah lainnya belum meningkat. Ke depan, pertumbuhan ekonomi semester II 2025 diprakirakan membaik dan secara keseluruhan tahun 2025 diprakirakan berada dalam kisaran 4,6–5,4%. Di samping membaiknya permintaan domestik, perbaikan ini juga didukung oleh tetap positifnya kinerja ekspor sejalan dengan hasil perundingan tarif dengan Pemerintah AS. Berbagai respons bauran kebijakan Pemerintah dan Bank Indonesia juga meningkatkan keyakinan pelaku ekonomi yang pada akhirnya akan mendorong kegiatan ekonomi. Dalam kaitan ini, stimulus fiskal ditempuh Pemerintah untuk perlindungan sosial dan implementasi program-program unggulan dalam Asta Cita. Di samping menjaga stabilitas, kebijakan Bank Indonesia juga diarahkan untuk turut mendorong pertumbuhan ekonomi melalui penurunan BI-Rate, pelonggaran likuiditas, serta peningkatan insentif makroprudensial kepada perbankan guna mendorong kredit/pembiayaan ke sektor-sektor prioritas. Bank Indonesia akan terus memperkuat bauran kebijakan moneter, makroprudensial, dan sistem pembayaran, bersinergi erat dengan kebijakan stimulus fiskal dan sektor riil Pemerintah untuk mendorong pertumbuhan ekonomi</t>
  </si>
  <si>
    <t>S170</t>
  </si>
  <si>
    <t>S171</t>
  </si>
  <si>
    <t>Untuk mendorong lebih lanjut pendalaman pasar keuangan, khususnya pasar uang Rupiah, Bank Indonesia menerbitkan aturan transaksi derivatif suku bunga Rupiah, yaitu Interest Rate Swap (IRS) dan Overnight Index Swap (OIS). Aturan tersebut dapat memperkaya alternatif instrumen lindung nilai terhadap perubahan suku bunga domestik. Dengan telah diterbitkannya IndONIA dan upaya penguatan JIBOR, kebijakan ini diharapkan dapat mendukung pembentukan yield curve yang lebih transparan di pasar uang dan pasar utang, dan selanjutnya dapat memperkuat transmisi kebijakan moneter serta mendorong berkembangnya pasar surat utang, baik yang diterbitkan Pemerintah maupun korporasi. Rincian pokok-pokok pengaturan transaksi derivatif suku bunga Rupiah dapat dilihat pada lampiran</t>
  </si>
  <si>
    <t>S172</t>
  </si>
  <si>
    <t>Sementara itu, kinerja Neraca Pembayaran Indonesia hingga bulan Agustus masih mencatat surplus, meskipun surplus pada neraca transaksi modal dan keuangan diperkirakan mengalami penurunan akibat peningkatan aliran keluar modal asing. Aliran keluar modal asing terutama terkait dampak rambatan masih berlanjutnya gangguan pada subprime mortgage market di AS. Jumlah cadangan devisa sampai dengan akhir bulan Agustus 2007 tercatat sebesar USD 51,4 miliar atau setara dengan 5,3 bulan impor dan pembayaran Utang Luar Negeri Pemerintah. Masih berlanjutnya gejolak pada subprime mortgage market di AS mendorong rata-rata bulanan nilai tukar Rupiah melemah sebesar 3,3% dari Rp9.071 pada bulan Juli menjadi Rp.9.372 pada bulan Agustus. Namun demikian, rata-rata nilai tukar rupiah sepanjang tahun 2007 (Januari – Agustus) hanya sebesar Rp 9.084 atau masih berada dalam kisaran proyeksi Bank Indonesia. ”Walaupun mengalami depresiasi, volatilitas Rupiah di bulan Agustus masih dapat dijaga dalam level yang rendah”, ungkap Burhanuddin</t>
  </si>
  <si>
    <t>S173</t>
  </si>
  <si>
    <t>S174</t>
  </si>
  <si>
    <t>Pertumbuhan ekonomi Indonesia perlu terus didorong di tengah ketidakpastian global akibat kebijakan tarif AS dan ketegangan geopolitik. Kegiatan ekonomi triwulan II 2025 menunjukkan kinerja ekspor nonmigas yang lebih baik dipengaruhi front loading ekspor ke AS sebagai respons antisipasi eksportir terhadap kebijakan tarif AS. Sementara itu, sumber pertumbuhan dari permintaan domestik melalui konsumsi rumah tangga dan investasi perlu makin ditingkatkan. Dari sisi Pemerintah, kebijakan fiskal ditempuh untuk mempercepat belanja melalui pemberian gaji ke-13 bagi Aparatur Sipil Negara (ASN) dan subsidi transportasi, serta penebalan bantuan sosial kepada Keluarga Penerima Manfaat (KPM). Dari sisi Bank Indonesia, penurunan suku bunga dan pelonggaran likuiditas ditempuh melalui kebijakan moneter yang dibarengi peningkatan insentif likuiditas makroprudensial untuk mendorong kredit - pembiayaan ke sektor-sektor prioritas. Ke depan, pertumbuhan ekonomi Indonesia diprakirakan akan membaik pada semester II 2025, dan secara keseluruhan, Bank Indonesia memprakirakan pertumbuhan ekonomi tahun 2025 berada dalam kisaran 4,6–5,4%. Berbagai respons kebijakan perlu terus diperkuat untuk mendorong pertumbuhan ekonomi baik dari sisi permintaan domestik maupun eksternal. Bank Indonesia akan terus memperkuat sinergi untuk mendorong pertumbuhan ekonomi melalui penguatan bauran kebijakan moneter, makroprudensial, dan sistem pembayaran, dengan kebijakan stimulus fiskal dan sektor riil Pemerintah, termasuk implementasi program Asta Cita</t>
  </si>
  <si>
    <t>S175</t>
  </si>
  <si>
    <t>S176</t>
  </si>
  <si>
    <t>Neraca Pembayaran Indonesia diprakirakan akan membaik. Prakiraan tersebut dipengaruhi defisit neraca perdagangan migas yang diprakirakan mengecil, setelah pada Juli 2013 mencatat defisit yang besar akibat besarnya impor migas guna penambahan stok penyangga dalam mengantisipasi hari raya Idul Fitri. Kondisi ini kemudian berdampak pada berkurangnya defisit transaksi berjalan yang secara gradual diperkirakan terus menurun, lebih kecil dari defisit yang terjadi pada triwulan II-2013. Penurunan defisit transaksi berjalan juga dipengaruhi melemahnya permintaan domestik dan berbagai kebijakan untuk menekan impor. Sementara itu, neraca modal dan finansial diperkirakan surplus yang besar didorong oleh arus masuk FDI dan juga investasi portofolio sehingga masih memadai untuk membiayai defisit pada transaksi berjalan. Bank Indonesia juga menilai kondisi utang luar negeri swasta masih cukup sehat karena banyak ditopang komposisi utang dengan tenor jangka panjang dan didominasi oleh perusahaan yang berorientasi ekspor. Cadangan devisa pada akhir Agustus 2013 tercatat sebesar US$93,0 miliar, relatif stabil dari posisi pada akhir Juli 2013 sebesar US$92,7 miliar. Cadangan devisa pada akhir Agustus tersebut setara dengan 5,0 bulan impor dan pembayaran utang luar negeri Pemerintah</t>
  </si>
  <si>
    <t>S177</t>
  </si>
  <si>
    <t>Inflasi 2020 tercatat rendah sejalan permintaan yang belum kuat dan pasokan yang memadai. Inflasi Indeks Harga Konsumen (IHK) pada 2020 tercatat sebesar 1,68% (yoy) dan berada di bawah kisaran sasaran 3,0%±1%. Perkembangan tersebut dipengaruhi oleh inflasi inti yang tercatat rendah sebesar 1,60% (yoy), sejalan dengan pengaruh permintaan domestik yang belum kuat, konsistensi kebijakan Bank Indonesia dalam mengarahkan ekspektasi inflasi pada kisaran target, dan dampak nilai tukar terhadap inflasi yang menurun. Inflasi kelompok administered prices juga tercatat rendah sebesar 0,25% (yoy), sejalan dengan mobilitas masyarakat yang masih terbatas dan upaya Pemerintah menurunkan harga energi guna mendorong daya beli masyarakat. Sementara itu, inflasi kelompok volatile food terkendali sebesar 3,62% (yoy), didukung oleh permintaan yang belum kuat dan pasokan yang memadai, meskipun terdapat tekanan musiman pada akhir tahun. Inflasi pada tahun 2021 diprakirakan tetap terkendali dalam sasaran 3,0%±1%. Ke depan, Bank Indonesia tetap berkomitmen menjaga stabilitas harga dan memperkuat koordinasi kebijakan dengan Pemerintah, baik di tingkat pusat maupun daerah melalui Tim Pengendali Inflasi (TPI dan TPID), guna mengendalikan inflasi IHK sesuai kisaran targetnya</t>
  </si>
  <si>
    <t>S178</t>
  </si>
  <si>
    <t>Ditengah tekanan ekonomi global, ketahanan sistem perbankan masih tetap terjaga. Fungsi intermediasi perbankan terus meningkat, ditunjukkan pertumbuhan kredit pada Maret 2008 sebesar Rp 34,2 triliun menjadi Rp1.080,1 triliun. Dengan peningkatan ini, prosentase kenaikan kredit dalam setahun menjadi 28,1% dari sebelumnya 26,6%. Sejalan dengan itu, rasio NPL gross dan net turun menjadi 4,78% dan 2,1% menjadi 4,33% dan 1,78%. Sementara itu, DPK kembali sedikit menurun menjadi Rp.1.466,2 triliun, sehingga mengakibatkan LDR meningkat menjadi 73,7%</t>
  </si>
  <si>
    <t>S179</t>
  </si>
  <si>
    <t>Di sisi harga, tekanan inflasi sampai dengan bulan Mei 2010 masih terjaga. Indeks harga konsumen (IHK) Mei mencatat inflasi sebesar 0,29% (mtm) atau 4,16% (yoy), lebih tinggi dibandingkan bulan sebelumnya yang tercatat sebesar 0,15% (mtm) atau 3,91% (yoy). Kenaikan harga pada bulan Mei tersebut terutama didorong oleh inflasi volatile food (khususnya beras dan aneka bumbu-bumbuan) akibat gangguan pasokan dan distribusi. Sementara itu, tekanan inflasi pada kelompok administered prices masih rendah. Demikian juga dengan tekanan inflasi inti (core inflation) yang tercatat masih cukup rendah dan dalam tren menurun sejak awal 2009. Dengan perkembangan tersebut, Dewan Gubernur berpendapat untuk keseluruhan tahun 2010 dan 2011 inflasi akan tetap berada pada kisaran sasarannya sebesar 5%±1%</t>
  </si>
  <si>
    <t>S180</t>
  </si>
  <si>
    <t>Pertumbuhan ekonomi dunia melambat, namun ketidakpastian pasar keuangan global menurun. Terdapat sejumlah perkembangan positif terkait dengan perundingan perang dagang antara AS-Tiongkok serta proses keluarnya Inggris dari Uni Eropa (Brexit), meskipun sejumlah risiko geopolitik masih berlanjut. Pertumbuhan ekonomi dunia diprakirakan 3,0% pada 2019, menurun dari 3,6% pada 2018, dan kemudian pulih terbatas menjadi 3,1% pada 2020, ditopang pertumbuhan negara berkembang. PDB AS dan Tiongkok melambat dipengaruhi terbatasnya stimulus dan dampak pengenaan tarif yang sudah terjadi. Ekonomi India juga menurun dipengaruhi konsolidasi di sektor riil dan sektor keuangan, baik bank maupun nonbank. Perbaikan terlihat pada Eropa dan Jepang, meskipun masih relatif terbatas, ditopang permintaan domestik yang membaik. Kemajuan dalam perundingan perdagangan antara AS-Tiongkok juga berdampak pada menurunnya risiko di pasar keuangan global serta mendorong berlanjutnya aliran masuk modal asing ke negara berkembang. Ke depan, prospek ekonomi global dipengaruhi kemajuan trade deal AS-Tiongkok, pemanfaatan trade diversion negara berkembang, efektivitas stimulus fiskal dan pelonggaran kebijakan moneter, serta kondisi geopolitik. Prospek pemulihan global tersebut menjadi perhatian karena dapat memengaruhi prospek pertumbuhan ekonomi domestik dan arus masuk modal asing</t>
  </si>
  <si>
    <t>S181</t>
  </si>
  <si>
    <t>Inflasi pada April 2015 tetap terkendali dan mendukung pencapaian sasaran inflasi 2015 yakni 4,0±1%. Inflasi IHK bulan April 2015 tercatat sebesar 0,36% (mtm) atau 6,79% (yoy), meningkat dari 0,17% (mtm) dan 6,38% (yoy) di bulan sebelumnya. Peningkatan tekanan inflasi bersumber dari kenaikan kelompok barang dan jasa yang harganya diatur Pemerintah (administered prices), sementara tekanan inflasi yang bersumber dari kelompok inti dan bahan makanan bergejolak (volatile food) relatif masih terjaga. Peningkatan inflasi administered prices terutama didorong oleh kenaikan harga bensin premium dan bensin solar di akhir bulan Maret 2015, tarif angkutan dalam kota, serta bahan bakar rumah tangga. Sementara itu, kelompok volatile food secara bulanan masih mencatat deflasi seiring dengan masa panen. Di sisi lain, inflasi inti relatif terjaga dan tercatat sebesar 0,24% (mtm) atau 5,04% (yoy), seiring dengan permintaan domestik yang masih moderat dan ekspektasi inflasi yang terkendali. Ke depan, Bank Indonesia akan terus mencermati berbagai faktor risiko yang memengaruhi inflasi, khususnya terkait dengan perkembangan harga minyak dunia, penyesuaian administered prices, serta faktor musiman menjelang Ramadhan dan lebaran</t>
  </si>
  <si>
    <t>S182</t>
  </si>
  <si>
    <t>S183</t>
  </si>
  <si>
    <t>S184</t>
  </si>
  <si>
    <t>Inflasi tetap rendah dan mendukung stabilitas perekonomian. Inflasi Indeks Harga Konsumen (IHK) pada Mei 2020 tercatat sedikit menurun dari sebesar 0,08% (mtm) pada April 2020 menjadi 0,07% (mtm). Inflasi Mei 2020 ini lebih rendah dibandingkan dengan pola inflasi pada periode Ramadan dan Idulfitri, yang dalam lima tahun terakhir rata-rata tercatat 0,69% (mtm). Dengan perkembangan tersebut, secara tahunan inflasi IHK Mei 2020 tercatat sebesar 2,19% (yoy), menurun dibandingkan dengan inflasi April sebesar 2,67% (yoy). Berdasarkan komponen, inflasi inti menurun dipengaruhi melambatnya permintaan domestik dan konsistensi Bank Indonesia dalam mengarahkan ekspektasi inflasi sesuai target. Kelompok volatile food mencatat deflasi terutama dipengaruhi koreksi harga beberapa komoditas akibat melambatnya permintaan, memadainya pasokan dan terjaganya distribusi barang. Sementara itu, kelompok administered prices mencatat inflasi terutama didorong peningkatan musiman tarif angkutan udara, tarif kereta api dan rokok kretek filter. Ke depan, Bank Indonesia konsisten menjaga stabilitas harga dan memperkuat koordinasi kebijakan dengan Pemerintah, baik di tingkat pusat maupun daerah, untuk mengendalikan inflasi tetap rendah dalam sasarannya sebesar 3,0% ± 1% pada 2020 dan 2021</t>
  </si>
  <si>
    <t>S185</t>
  </si>
  <si>
    <t>Perekonomian global mulai menunjukkan tanda-tanda perbaikan setelah mengalami tekanan berat pada triwulan II 2020 sejalan dampak pandemi COVID-19. Pertumbuhan ekonomi triwulan II 2020 di banyak negara maju dan berkembang mengalami kontraksi tajam akibat pembatasan mobilitas dalam rangka memitigasi penyebaran COVID-19. Indikasi perbaikan ekonomi mulai terlihat di beberapa negara, khususnya di Tiongkok, didorong dampak penyebaran COVID-19 yang telah berkurang dan stimulus kebijakan fiskal yang besar. Sementara di pasar keuangan global, kekhawatiran terhadap terjadinya gelombang kedua pandemi COVID-19, prospek pemulihan ekonomi global, dan kenaikan tensi geopolitik Amerika Serikat (AS)-Tiongkok menyebabkan masih tingginya ketidakpastian. Kondisi ini kemudian menahan aliran modal ke negara berkembang dan memberikan tekanan kepada nilai tukar negara berkembang, termasuk Indonesia. Perekonomian global pada paruh kedua 2020 diprakirakan membaik, meskipun belum kembali ke level sebelum COVID-19 sejalan dengan penerapan protokol kesehatan di era kenormalan baru. Sejumlah indikator ekonomi dini mengindikasikan arah pemulihan ekonomi global itu, seperti meningkatnya mobilitas masyarakat global, membaiknya keyakinan konsumen dan bisnis di banyak negara, serta naiknya PMI Manufaktur di AS, Eropa, dan Tiongkok. Kecepatan pemulihan ekonomi global ke depan dipengaruhi perkembangan COVID-19, mobilitas ekonomi merespons pandemi, besaran dan kecepatan stimulus kebijakan, terutama stimulus fiskal, kondisi sektor keuangan dan korporasi, serta struktur perekonomian suatu negara</t>
  </si>
  <si>
    <t>S186</t>
  </si>
  <si>
    <t>Di sisi global, asesmen Bank Indonesia menunjukkan bahwa perekonomian dunia terus mengalami pemulihan. Perekonomian AS terus tumbuh didukung oleh kegiatan produksi manufaktur dan konsumsi yang dalam tren meningkat, walaupun secara struktural masih lemah termasuk tingkat partisipasi tenaga kerja dan produktivitas yang masih menurun. Sehubungan dengan itu, normalisasi kebijakan moneter the Fed diperkirakan akan berlangsung secara gradual, meskipun terdapat kemungkinan kenaikan Fed Fund Rate dapat terjadi pada triwulan II atau III tahun 2015. Di sisi lain, perekonomian Eropa menunjukkan perlambatan, tercermin dari permintaan domestik yang masih relatif lemah dan menurunnya ekspor akibat ketegangan geopolitik Ukraina-Rusia. Penurunan suku bunga dan stimulus kebijakan moneter oleh ECB diperkirakan akan membantu perbaikan ekonomi di Uni Eropa dan menambah ekses likuiditas di pasar keuangan global. Di negara berkembang, pertumbuhan ekonomi diprakirakan masih relatif terbatas sehingga mendorong berlanjutnya penurunan harga komoditas. Di tengah pertumbuhan ekonomi Tiongkok yang relatif stabil, perekonomian India menunjukkan perbaikan sementara sejumlah bank sentral di Asia Tenggara menaikkan suku bunga kebijakan untuk pengendalian inflasi di negaranya. Ke depan, Bank Indonesia terus mewaspadai sejumlah risiko global dan regional ini agar tidak mengganggu stabilitas dan pertumbuhan ekonomi nasional</t>
  </si>
  <si>
    <t>S187</t>
  </si>
  <si>
    <t>Rapat Dewan Gubernur (RDG) Bank Indonesia pada 18-19 April 2018 memutuskan untuk mempertahankan BI 7-day Reverse Repo Rate tetap sebesar 4,25%, dengan suku bunga Deposit Facility tetap sebesar 3,50% dan Lending Facility tetap sebesar 5,00%, berlaku efektif sejak 20 April 2018. Kebijakan tersebut konsisten dengan upaya menjaga stabilitas makroekonomi dan sistem keuangan di tengah meningkatnya tekanan eksternal. Bank Indonesia memandang pelonggaran kebijakan moneter yang ditempuh sebelumnya, didukung oleh kebijakan makroprudensial dan sistem pembayaran, masih memadai untuk terus mendorong momentum pemulihan ekonomi domestik. Ke depan, Bank Indonesia tetap fokus dalam menjaga stabilitas perekonomian yang menjadi landasan utama bagi terciptanya pertumbuhan ekonomi yang lebih kuat dan berkelanjutan. Sejumlah risiko global tetap perlu diwaspadai karena dapat mengganggu perekonomian domestik, seperti peningkatan ketidakpastian pasar keuangan dunia, kenaikan harga minyak, dan kemungkinan berlanjutnya perang dagang AS-Tiongkok. Untuk itu, Bank Indonesia terus mengoptimalkan bauran kebijakan moneter, makroprudensial, dan sistem pembayaran untuk menjaga keseimbangan antara stabilitas makroekonomi dan sistem keuangan dengan proses pemulihan ekonomi yang sedang berlangsung. Bank Indonesia juga semakin memperkuat koordinasi kebijakan dengan Pemerintah untuk menjaga stabilitas makroekonomi dan sistem keuangan serta memperkuat pelaksanaan reformasi struktural</t>
  </si>
  <si>
    <t>S188</t>
  </si>
  <si>
    <t>Inflasi masih terkendali pada level yang rendah dan stabil. Indeks Harga Konsumen mengalami deflasi sebesar 0,18% (mtm) pada September 2018, lebih dalam dibandingkan dengan deflasi bulan lalu sebesar 0,05% (mtm). Deflasi tersebut terutama bersumber dari deflasi kelompok volatile food , sedangkan inflasi inti melambat dan inflasi kelompok administered prices tercatat stabil. Dengan perkembangan tersebut, inflasi secara tahunan mencapai 2,88% (yoy), menurun dari 3,20% (yoy) pada bulan sebelumnya. Kelompok volatile food mencatat deflasi seiring berlanjutnya koreksi harga beberapa komoditas pangan. Sementara itu, inflasi inti melambat dari 0,30% (mtm) pada bulan Agustus 2018 menjadi 0,28% (mtm) pada September 2018. Terkendalinya inflasi inti hingga September 2018 tidak terlepas dari konsistensi kebijakan Bank Indonesia dalam mengarahkan ekspektasi inflasi, termasuk dalam menjaga pergerakan nilai tukar. Ke depan, inflasi diprakirakan tetap berada pada sasaran inflasi 2018, yaitu 3,5±1% (yoy). Bank Indonesia dan Pemerintah akan terus memperkuat koordinasi kebijakan dalam pengendalian inflasi sehingga inflasi tetap terjaga pada level yang rendah dan stabil</t>
  </si>
  <si>
    <t>S189</t>
  </si>
  <si>
    <t>Pertumbuhan ekonomi meningkat pada triwulan III 2015 dan diperkirakan akan terus meningkat pada triwulan IV 2015. Pertumbuhan ekonomi triwulan III 2015 tercatat 4,73% (yoy), lebih tinggi dibandingkan dengan triwulan sebelumnya sebesar 4,67% (yoy). Peningkatan terutama didorong oleh peran pemerintah yang lebih kuat, baik dalam bentuk konsumsi maupun investasi pemerintah. Hal ini sejalan dengan kemajuan proyek infrastruktur pemerintah yang signifikan sejalan dengan peningkatan penyerapan belanja modal pemerintah yang meningkat 38,8 persen sampai dengan Oktober 2015. Konsumsi rumah tangga juga masih cukup kuat yang tercermin dari daya beli yang membaik. Di sisi eksternal, masih rendahnya harga komoditas dan masih lemahnya pertumbuhan ekonomi negara mitra dagang, seperti Amerika Serikat, China, dan Singapura menyebabkan ekspor masih terkontraksi lebih dalam. Secara spasial, perbaikan kondisi perekonomian terjadi di Jawa, sementara ekonomi Sumatera meski membaik namun masih relatif terbatas. Di sisi lain, ekonomi KTI kembali tumbuh melambat dan Kalimantan bahkan mencatat pertumbuhan negatif untuk pertama kalinya dalam 10 tahun terakhir. Bank Indonesia memandang perbaikan ekonomi Indonesia akan terus berlanjut pada triwulan IV 2015 ditopang akselerasi pelaksanaan proyek infrastruktur Pemerintah. Selain itu, investasi swasta diharapkan meningkat sejalan dengan rangkaian paket kebijakan pemerintah, termasuk berbagai deregulasi yang mendukung iklim investasi. Secara keseluruhan tahun 2015, pertumbuhan ekonomi Indonesia akan berada pada batas bawah kisaran 4,7%-5,1%, dan akan meningkat pada kisaran 5,2%-5,6% pada 2016</t>
  </si>
  <si>
    <t>S190</t>
  </si>
  <si>
    <t>S191</t>
  </si>
  <si>
    <t>Neraca Pembayaran Indonesia (NPI) tetap sehat dan terus mendukung ketahanan eksternal. Pada triwulan II 2024, defisit transaksi berjalan diprakirakan rendah, didukung oleh peningkatan surplus neraca perdagangan. Sementara itu, transaksi modal dan finansial mencatat surplus di tengah tingginya ketidakpastian pasar keuangan global. Kinerja NPI yang positif diprakirakan berlanjut pada triwulan III 2024. Pada Juli 2024, neraca perdagangan kembali mencatat surplus sebesar 0,5 miliar dolar AS. Aliran investasi portofolio asing juga menguat ke berbagai instrumen pasar keuangan domestik, seperti SBN, SRBI, dan saham, yang hingga 19 Agustus 2024 (qtd) secara neto tercatat inflow sebesar 7,2 miliar dolar AS. Posisi cadangan devisa akhir Juli 2024 tercatat meningkat menjadi 145,4 miliar dolar AS, setara dengan pembiayaan 6,5 bulan impor atau pembiayaan 6,3 bulan impor dan pembayaran utang luar negeri pemerintah, serta berada di atas standar kecukupan internasional sekitar 3 bulan impor. Ke depan, NPI 2024 diprakirakan terjaga dengan transaksi berjalan dalam kisaran defisit rendah sebesar 0,1% sampai dengan 0,9% dari PDB. Neraca transaksi modal dan finansial diprakirakan tetap surplus, ditopang oleh peningkatan investasi portofolio dan Penanaman Modal Asing (PMA), sejalan persepsi positif investor terhadap prospek perekonomian nasional dan imbal hasil investasi yang menarik</t>
  </si>
  <si>
    <t>S192</t>
  </si>
  <si>
    <t>S193</t>
  </si>
  <si>
    <t>Di sisi harga, Dewan Gubernur mencatat tekanan inflasi IHK hingga September terutama masih bersumber dari volatile foods. Inflasi IHK pada bulan September 2010 mencapai 0,44% (mtm) atau sebesar 5,80% ( yoy ). Sumber utama tekanan inflasi IHK masih berasal dari kenaikan inflasi kelompok volatile foods terkait pola musiman hari raya. Sementara itu, tekanan inflasi yang tercermin pada inflasi inti ( core inflation ) sejauh ini masih pada tingkat yang rendah yaitu sebesar 4,02% ( yoy ) didukung antara lain oleh nilai tukar yang cenderung terapresiasi. Demikian pula, tekanan inflasi dari administered prices masih relatif rendah yakni 5,60%( yoy ) karena pada September 2010 tidak ada kebijakan strategis pemerintah di bidang harga</t>
  </si>
  <si>
    <t>S194</t>
  </si>
  <si>
    <t>Ketahanan sistem keuangan terjaga baik. Likuiditas perbankan tetap memadai, tecermin dari rasio Alat Likuid terhadap Dana Pihak Ketiga (AL/DPK) pada Desember 2024 yang tinggi sebesar 25,59%. Rasio kecukupan modal ( Capital Adequacy Ratio /CAR) perbankan pada November 2024 tercatat tinggi sebesar 26,89%, tergolong kuat dalam menyerap risiko dan mendukung pertumbuhan kredit. Risiko kredit tetap terkendali, tecermin dari rasio kredit bermasalah ( Non-Performing Loan /NPL) perbankan pada November 2024 yang terjaga rendah, sebesar 2,19% (bruto) dan 0,75% (neto). Hasil stress-test Bank Indonesia menunjukkan ketahanan perbankan yang tetap kuat dalam menghadapi berbagai risiko, serta ditopang oleh kemampuan membayar dan profitabilitas korporasi yang terjaga. Bank Indonesia akan terus memperkuat sinergi kebijakan bersama KSSK dalam memitigasi berbagai risiko yang berpotensi mengganggu stabilitas sistem keuangan</t>
  </si>
  <si>
    <t>S195</t>
  </si>
  <si>
    <t>Neraca Pembayaran Indonesia (NPI) diprakirakan tetap baik. Surplus NPI pada 2021 diprakirakan meningkat dibandingkan tahun sebelumnya, didukung oleh transaksi berjalan yang mencatat surplus sekitar 0,2% dari PDB dan surplus transaksi modal dan finansial yang meningkat. Memasuki awal tahun 2022, aliran masuk modal asing ke pasar keuangan domestik berlanjut tercermin dari investasi portofolio yang mencatat net in flows yang terbatas sebesar 0,2 miliar dolar AS sampai dengan 18 Januari 2022. Posisi cadangan devisa Indonesia akhir Desember 2021 tetap tinggi, yakni 144,9 miliar dolar AS, setara pembiayaan 8,0 bulan impor atau 7,8 bulan impor dan pembayaran utang luar negeri Pemerintah, serta berada di atas standar kecukupan internasional sekitar 3 bulan impor. Ke depan, kinerja NPI pada 2022 diprakirakan tetap terjaga dengan defisit transaksi berjalan yang diprakirakan tetap rendah dalam kisaran 1,1% - 1,9% dari PDB. Selain itu, surplus neraca transaksi modal dan finansial diperkirakan lebih besar dibandingkan tahun lalu, terutama dari arus modal asing khususnya dalam bentuk penanaman modal asing (PMA) sejalan dengan langkah-langkah perbaikan iklim investasi di dalam negeri</t>
  </si>
  <si>
    <t>S196</t>
  </si>
  <si>
    <t>S197</t>
  </si>
  <si>
    <t>Di sisi domestik, Dewan Gubernur menilai perekonomian Indonesia masih memiliki daya tahan yang kuat, meskipun dengan kecenderungan pertumbuhan yang lebih rendah seiring dengan menurunnya prospek perekonomian global. Untuk triwulan I-2012, pertumbuhan ekonomi diprakirakan sebesar 6,5%, sementara untuk keseluruhan tahun 2012 akan cenderung pada batas bawah prakiraan 6,3-6,7%. Sumber pertumbuhan terutama dari permintaan domestik, didukung oleh konsumsi rumah tangga dan investasi yang tetap kuat. Konsumsi rumah tangga yang kuat ditopang oleh perbaikan daya beli dan keyakinan konsumen yang membaik seiring dengan terkendalinya inflasi. Peningkatan investasi didukung oleh iklim investasi yang kondusif dan persepsi terhadap prospek ekonomi Indonesia yang positif. Sementara itu, pertumbuhan ekspor diperkirakan akan melambat seiring dengan perlambatan ekonomi global. Dari sisi produksi, sektor-sektor yang diperkirakan menjadi pendorong utama pertumbuhan ekonomi adalah sektor industri, sektor transportasi dan komunikasi, serta sektor perdagangan, hotel dan restoran</t>
  </si>
  <si>
    <t>S198</t>
  </si>
  <si>
    <t>Inflasi tahun 2011 mencapai 3,79%, menurun tajam dibandingkan inflasi tahun 2010 (6,96%) sehingga sedikit lebih rendah dari sasarannya sebesar 5%±1% (yoy). Pencapaian tingkat inflasi yang cukup rendah tersebut didukung oleh relatif stabilnya inflasi inti, rendahnya inflasi bahan pangan, dan minimnya inflasi administered prices . Inflasi inti yang stabil didukung oleh kebijakan moneter dan nilai tukar dalam mengendalikan permintaan, tekanan inflasi dari barang impor, serta ekspektasi inflasi. Di sisi lain, rendahnya inflasi bahan pangan didukung oleh kebijakan Pemerintah dalam menjaga kecukupan pasokan dan kelancaran distribusi serta stabilisasi harga pangan. Sementara itu, kebijakan fiskal terkait subsidi energi berdampak pada minimnya inflasi administered prices . Sinergi kebijakan Bank Indonesia dan Pemerintah dalam meredam inflasi tersebut juga tidak terlepas dari koordinasi yang semakin baik, yang antara lain dilakukan melalui forum TPI (Tim Pengendalian Inflasi ) dan TPID (Tim Pengendalian Inflasi Daerah)</t>
  </si>
  <si>
    <t>S199</t>
  </si>
  <si>
    <t>Ketidakpastian pasar keuangan global mulai mereda dengan risiko yang masih tinggi. Ekonomi global pada 2024 diprakirakan tumbuh sebesar 3,2% dengan kecenderungan yang melambat. Ekonomi Amerika Serikat (AS) diperkirakan mulai melambat di semester II 2024 seiring dengan penurunan permintaan domestik. Sementara itu, ekonomi Tiongkok belum kuat, dan ekonomi Eropa terus membaik. Perlambatan ekonomi AS berdampak pada meningkatnya pengangguran dan menurunnya inflasi yang lebih cepat ke arah sasaran inflasi jangka panjang sebesar 2%. Perkembangan ini mendorong kuatnya ekspektasi penurunan Fed Funds Rate (FFR) yang lebih cepat dan lebih besar dari prakiraan. Hal tersebut​ kemudian menyebabkan penurunan yield US Treasury tenor 2 tahun, yang diikuti dengan penurunan yield US Treasury tenor 10 tahun, dan pelemahan dolar AS terhadap berbagai mata uang dunia. Ketidakpastian pasar keuangan global juga mulai mereda. Perkembangan tersebut mendorong meningkatnya aliran masuk modal asing dan memperkuat mata uang negara berkembang, termasuk Indonesia. Ke depan, risiko terkait kekhawatiran resesi di AS dan dinamika geopolitik perlu terus dicermati. Kondisi ini memerlukan kehati-hatian dalam merumuskan respons kebijakan dari rambatan ketidakpastian global terhadap perekonomian domestik</t>
  </si>
  <si>
    <t>S200</t>
  </si>
  <si>
    <t>Perekonomian Indonesia pada triwulan I 2018 diprakirakan tumbuh lebih baik dari triwulan yang sama tahun sebelumnya, ditopang oleh permintaan domestik khususnya investasi. Investasi meningkat baik pada investasi bangunan maupun nonbangunan. Investasi bangunan meningkat sejalan dengan kemajuan proyek infrastruktur oleh pemerintah dan swasta. Sementara itu, peningkatan investasi nonbangunan terutama terjadi pada sektor primer, khususnya pertambangan. Survei Kegiatan Dunia Usaha Bank Indonesia triwulan I 2018 menunjukkan adanya peningkatan kegiatan dunia usaha dan diikuti oleh membaiknya kinerja korporasi nonkeuangan di berbagai sektor. Demikian juga konsumsi swasta diperkirakan meningkat didukung oleh penguatan daya beli, seiring dengan perbaikan pendapatan dan akselerasi penyaluran bantuan sosial, serta peningkatan pengeluaran terkait Pilkada serentak. Dari sisi eksternal, ekspor tumbuh positif terutama bersumber dari ekspor komoditas pertambangan dan produk manufaktur yang membaik. Sementara itu, impor juga diprakirakan meningkat khususnya barang modal dan bahan baku. Dengan perkembangan tersebut, untuk keseluruhan 2018, perekonomian Indonesia diprakirakan tumbuh pada kisaran 5,1-5,5% (yoy)</t>
  </si>
  <si>
    <t>S201</t>
  </si>
  <si>
    <t>Ketahanan sektor eksternal Indonesia pada triwulan III 2020 tetap terjaga, di tengah dinamika penyesuaian aliran modal global. Transaksi berjalan triwulan III 2020 diprakirakan mencatat surplus dipengaruhi perbaikan ekspor dan penyesuaian impor sejalan permintaan domestik yang belum kuat. Prakiraan ini didorong potensi kenaikan surplus neraca perdagangan triwulan III 2020 yang relatif besar dibandingkan dengan surplus pada triwulan sebelumnya. Pada Juli-Agustus 2020, neraca perdagangan mencatat surplus 5,57 miliar dolar AS. Dengan prospek surplus neraca transaksi berjalan tersebut dan surplus neraca finansial, secara keseluruhan neraca pembayaran pada triwulan III 2020 diprakirakan mengalami surplus, meskipun terdapat aliran keluar investasi portofolio asing ( net outflows ) sebesar 1,24 miliar dolar AS. Pada awal Oktober 2020, aliran masuk modal asing secara berangsur membaik sehingga per 9 Oktober 2020 tercatat net inflows sebesar 0,33 miliar dolar AS. Posisi cadangan devisa Indonesia akhir September 2020 tetap tinggi, yakni 135,2 miliar dolar AS, setara pembiayaan 9,5 bulan impor atau 9,1 bulan impor dan pembayaran utang luar negeri Pemerintah, serta berada di atas standar kecukupan internasional sekitar 3 bulan impor. Ke depan, defisit transaksi berjalan keseluruhan tahun 2020 diprakirakan tetap rendah, di bawah 1,5% dari PDB, sehingga terus mendukung ketahanan sektor eksternal</t>
  </si>
  <si>
    <t>S202</t>
  </si>
  <si>
    <t>Indeks Harga Konsumen (IHK) pada bulan Maret 2017 mencatat deflasi seiring dengan pasokan bahan makanan yang meningkat. IHK mengalami deflasi sebesar 0,02% (mtm), menurun dari inflasi sebesar 0,23% (mtm) pada bulan sebelumnya. Deflasi IHK terutama disumbang oleh komponen bahan makanan bergejolak (volatile food) seiring dengan melimpahnya pasokan terkait panen beberapa komoditas pangan. Selain itu, terkendalinya harga didukung oleh inflasi inti yang tercatat sebesar 0,10% (mtm), lebih rendah dari bulan sebelumnya sebesar 0,37% (mtm). Inflasi administered prices menurun terutama akibat deflasi tarif angkutan udara yang dapat mengurangi dampak kenaikan tarif listrik. Ke depan, untuk menjaga sasaran inflasi 4±1% dapat tercapai, koordinasi kebijakan Pemerintah dan Bank Indonesia dalam pengendalian inflasi perlu terus diperkuat terutama dalam menghadapi sejumlah risiko terkait penyesuaian administered prices sejalan dengan kebijakan lanjutan reformasi subsidi energi oleh Pemerintah, dan risiko kenaikan harga volatile food menjelang bulan puasa</t>
  </si>
  <si>
    <t>S203</t>
  </si>
  <si>
    <t>S204</t>
  </si>
  <si>
    <t>Inflasi pada Maret 2015 tetap terkendali dan mendukung pencapaian sasaran inflasi 2015 yakni 4,0±1%. Setelah mengalami deflasi pada dua bulan pertama 2015, inflasi bulan Maret tercatat sebesar 0,17% (mtm) atau 6,38% (yoy) yang bersumber dari kelompok administered price. Meski demikian, secara umum inflasi pada bulan Maret terkendali, ditopang oleh kelompok volatile food yang masih mengalami deflasi dan inflasi inti yang melambat. Inflasi administered prices meningkat didorong oleh kenaikan harga bensin premium, solar, LPG 12 kg, serta harga bensin pertamax, seiring dengan kenaikan harga minyak dunia dan pelemahan nilai tukar Rupiah. Sementara itu, volatile food mengalami deflasi, ditopang membaiknya pasokan bahan pangan, termasuk beras yang mulai memasuki musim panen. Di sisi lain, perkembangan inflasi inti menurun dari bulan lalu (0,34%, mtm) menjadi 0,29% (mtm) atau 5,04% (yoy), seiring permintaan domestik yang masih moderat dan ekspektasi inflasi yang terkendali serta penurunan harga komoditas global nonminyak. Ke depan, Bank Indonesia akan terus mencermati berbagai faktor risiko yang dapat mempengaruhi inflasi, terutama terkait dengan perkembangan harga minyak dunia, dampak pelemahan nilai tukar Rupiah, kemungkinan penyesuaian administered prices, dan pasokan bahan pangan. Dalam rangka menjaga inflasi tetap berada pada sasaran yang ditetapkan, Bank Indonesia senantiasa memperkuat koordinasi kebijakan dengan Pemerintah baik di tingkat pusat maupun daerah</t>
  </si>
  <si>
    <t>S205</t>
  </si>
  <si>
    <t>S206</t>
  </si>
  <si>
    <t>Sesuai dengan prakiraan, Neraca Pembayaran Indonesia pada triwulan III-2012 diprakirakan mengalami perbaikan walaupun tetap perlu diwaspadai. Defisit transaksi berjalan diprakirakan akan lebih rendah dibandingkan triwulan II-2012, sesuai dengan prakiraan sebelumnya. Hal itu terindikasi dari mulai membaiknya neraca perdagangan pada bulan Juli 2012. Di sisi lain, defisit transaksi berjalan dapat diimbangi oleh surplus transaksi modal dan finansial yang diprakirakan meningkat, terutama FDI. Hal ini menunjukkan kepercayaan investor yang tinggi terhadap perekonomian Indonesia. Ke depan, kondisi NPI diharapkan semakin baik dengan ekspektasi bahwa kondisi perekonomian global dan harga komoditas ekspor akan membaik serta didukung oleh respon kebijakan yang efektif. Sementara itu, jumlah cadangan devisa pada akhir Agustus 2012 sedikit meningkat dibandingkan posisi akhir bulan sebelumnya, yaitu mencapai 109 miliar dolar AS atau setara dengan 5,9 bulan impor dan pembayaran utang luar negeri Pemerintah</t>
  </si>
  <si>
    <t>S207</t>
  </si>
  <si>
    <t>Ketahanan sistem keuangan tetap terjaga, meskipun. fungsi intermediasi perbankan masih perlu didorong. Rasio kecukupan modal ( Capital Adequacy Ratio / CAR) perbankan April 2021 tetap tinggi sebesar 24,21%, dan rasio kredit bermasalah ( Non Performing Loan / NPL) tetap terjaga, yakni 3,22% (bruto) dan 1,06% (neto). Di tengah kondisi likuiditas yang tetap longgar, intermediasi perbankan menunjukkan perbaikan meskipun masih mengalami kontraksi sebesar -1,28% (yoy) pada Mei 2021. Perbaikan ini didorong oleh membaiknya permintaan kredit seiring dengan berlanjutnya pemulihan aktivitas korporasi yang tercermin antara lain dari meningkatnya penjualan, pajak yang dibayarkan, dan kemampuan bayar korporasi. Di sektor rumah tangga, permintaan kredit di sektor properti terus membaik tercermin dari pertumbuhan Kredit Pemilikan Rumah (KPR) yang tumbuh 6,61% (yoy) sejalan dengan implementasi pelonggaran LTV dan insentif pajak oleh Pemerintah. Pemulihan kredit juga terjadi di sektor UMKM, terutama di sektor perdagangan. Untuk mendorong momentum pemulihan fungsi intermediasi perbankan, berbagai langkah penguatan terus dilakukan melalui sinergi antar otoritas, perbankan, dan dunia usaha untuk menjaga optimisme dan mengatasi permasalahan sisi permintaan dan sisi penawaran kredit dari perbankan kepada dunia usaha. Dalam kaitan ini, Bank Indonesia terus memperkuat kebijakan transparansi SBDK perbankan serta koordinasi dengan Pemerintah dan otoritas terkait untuk meningkatkan kredit/pembiayaan kepada dunia usaha pada sektor-sektor prioritas</t>
  </si>
  <si>
    <t>S208</t>
  </si>
  <si>
    <t>Berlanjutnya ketegangan hubungan dagang AS-Tiongkok telah berdampak pada ekonomi dunia 2019 yang terus melambat. Pertumbuhan ekonomi dunia diperkirakan turun dari 3,6% pada 2018 menjadi hanya 3,0% pada 2019. Di AS, perang dagang telah menurunkan pertumbuhan ekonominya dari 2,9% pada tahun 2018 menjadi sekitar 2,3% pada tahun 2019 dengan tertekannya ekspor yang kemudian berdampak pada permintaan domestik, terutama investasi nonresidensial dan konsumsi rumah tangga. Demikian pula, tertekannya ekspor dan investasi berdampak pada pertumbuhan ekonomi Tiongkok yang diperkirakan menurun dari 6,6% pada tahun 2018 menjadi sekitar 6,2% pada 2019. Pertumbuhan ekonomi di Eropa, Jepang, India, dan banyak negara juga mengalami tekanan. Pelonggaran kebijakan moneter berupa penurunan suku bunga dan ekspansi neraca bank sentral di berbagai negara belum mampu mencegah perlambatan ekonomi dunia. Di pasar keuangan global, perkembangan terkini mengindikasikan ketidakpastian pasar keuangan global sedikit mereda sehingga aliran masuk modal asing ke negara berkembang terus berlanjut. Ke depan, pertumbuhan ekonomi dunia berpotensi sedikit membaik, meskipun risiko ketegangan hubungan dagang AS-Tiongkok dan kondisi geopolitik perlu terus dicermati karena dapat memengaruhi pertumbuhan ekonomi domestik dan arus masuk modal asing</t>
  </si>
  <si>
    <t>S209</t>
  </si>
  <si>
    <t>Kredit perbankan tetap kuat mendukung pertumbuhan ekonomi. Pada Januari 2025, pertumbuhan kredit mencapai 10,27% (yoy), didorong oleh sisi penawaran dan permintaan. Dari sisi penawaran, pertumbuhan kredit ditopang oleh realokasi alat likuid ke kredit oleh perbankan yang masih berlanjut, dukungan pendanaan dari pertumbuhan DPK yang masih terjaga, serta ketersediaan likuiditas yang tetap baik sejalan dengan implementasi penguatan KLM. Dari sisi permintaan, pertumbuhan kredit didukung oleh kinerja penjualan korporasi yang masih tumbuh positif di tengah konsumsi rumah tangga yang terbatas. Berdasarkan kelompok penggunaan, pertumbuhan kredit modal kerja, kredit investasi, dan kredit konsumsi, masing-masing sebesar 8,40% (yoy), 13,22% (yoy), dan 10,37% (yoy). Pembiayaan syariah tumbuh sebesar 9,71% (yoy), sementara kredit UMKM tumbuh 2,88% (yoy). Ke depan, Bank Indonesia akan turut mendorong pertumbuhan kredit melalui berbagai kebijakan makroprudensial yang akomodatif sehingga dapat mendukung pertumbuhan ekonomi</t>
  </si>
  <si>
    <t>S210</t>
  </si>
  <si>
    <t>Stabilitas sistem keuangan secara umum tetap terjaga baik, meskipun pasar keuangan domestik sempat mendapat tekanan sebagai akibat sentimen global. Stabilitas sistem keuangan ditopang oleh kinerja industri perbankan yang tetap solid, tercermin pada rasio kecukupan modal (CAR/ Capital Adequacy Ratio ) yang masih tinggi sebesar 18,4% dan berada jauh di atas ketentuan minimum 8%, serta rasio kredit bermasalah (NPL/ Non Performing Loan ) gross yang masih rendah sebesar 1,95% pada bulan Mei 2013. Sementara itu, sejalan pertumbuhan ekonomi yang cenderung melambat, pertumbuhan kredit hingga akhir Mei 2013 melambat menjadi 21,0% (yoy). Kredit modal kerja dan kredit investasi, meskipun juga berada dalam tren menurun, masih tumbuh cukup tinggi masing-masing sebesar 21,7% (yoy) dan 22,9% (yoy), sedangkan pertumbuhan kredit konsumsi turun menjadi 18,4% (yoy). Bank Indonesia mencermati perkembangan KPR/KPA pada tipe-tipe tertentu tumbuh terlalu tinggi dan dikhawatirkan dapat mengganggu kinerja perbankan dan stabilitas sistem keuangan Laporan lengkap mengenai pembahasan Rapat Dewan Gubernur (RDG) Juli 2013 yang memuat perkembangan ekonomi makro dan kebijakan moneter dapat dilihat dalam Laporan Kebijakan Moneter (LKM) di Website Bank Indonesia . Adapun mengenai perkembangan perekonomian daerah triwulanan dapat dilihat pada Laporan Nusantara (Kajian Ekonomi dan Keuangan Regional ). Jakarta, 11 Juli 2013 Departemen Komunikasi Difi A. Johansyah Direktur Eksekutif</t>
  </si>
  <si>
    <t>S211</t>
  </si>
  <si>
    <t>Nilai tukar Rupiah menguat setelah mengalami tekanan depresiasi pada triwulan III 2015. Pada triwulan III 2015, Rupiah secara rata-rata melemah sebesar 5,35% (qtq) ke level Rp13.873 per dolar AS. Tekanan terhadap Rupiah dipengaruhi oleh faktor eksternal, yaitu kekhawatiran terhadap normalisasi kebijakan The Fed dan devaluasi Yuan. Namun, Rupiah menguat pada bulan Oktober 2015 dipicu oleh sentimen positif terhadap EM akibat FOMC yang dovish dan membaiknya optimisme terhadap prospek ekonomi Indonesia sejalan dengan rangkaian paket kebijakan pemerintah dan paket stabilisasi nilai tukar yang dikeluarkan oleh Bank Indonesia. Rupiah secara rata-rata menguat 4,47% (mtm) ke level Rp13.783 per dolar AS. Ke depan, Bank Indonesia akan terus menjaga stabilitas nilai tukar sesuai dengan fundamentalnya</t>
  </si>
  <si>
    <t>S212</t>
  </si>
  <si>
    <t>Kondisi likuiditas lebih dari cukup sehingga terus mendorong penurunan suku bunga dan kondusif bagi pembiayaan perekonomian. Hingga 15 September 2020, Bank Indonesia telah menambah likuiditas ( quantitative easing ) di perbankan sekitar Rp662,1 triliun, terutama bersumber dari penurunan Giro Wajib Minimum (GWM) sekitar Rp155 triliun dan ekspansi moneter sekitar Rp491,3 triliun. Longgarnya kondisi likuiditas mendorong tingginya rasio Alat Likuid terhadap Dana Pihak Ketiga (AL/DPK) yakni 29,22% pada Agustus 2020 dan rendahnya suku bunga PUAB overnight , sekitar 3,31% pada Agustus 2020. Longgarnya likuiditas serta penurunan suku bunga kebijakan (BI7DRR) berkontribusi menurunkan suku bunga deposito dan kredit modal kerja pada Agustus 2020 dari 5,63% dan 9,47% pada Juli 2020 menjadi 5,49% dan 9,44%. Sementara itu, imbal hasil SBN 10 tahun pada Agustus-September 2020 meningkat dari 6,83% pada Juli 2020 menjadi 6,87% pada Agustus 2020 dan 6,92% per 15 September 2020 sejalan proses penyesuaian pelaku asing di pasar keuangan domestik. Dari besaran moneter, pertumbuhan besaran moneter M1 dan M2 pada Agustus 2020 meningkat menjadi 19,3% (yoy) dan 13,3% (yoy) terutama didorong dampak ekspansi operasi keuangan pemerintah. Ke depan, ekspansi moneter Bank Indonesia yang sementara ini masih tertahan di perbankan diharapkan dapat lebih efektif mendorong pemulihan ekonomi nasional sejalan percepatan realisasi anggaran dan program restrukturisasi kredit perbankan</t>
  </si>
  <si>
    <t>S213</t>
  </si>
  <si>
    <t>Kinerja Neraca Pembayaran Indonesia (NPI) pada triwulan I-2012 diprakirakan akan mencatat surplus yang lebih kecil. Hal ini sejalan dengan defisit transaksi berjalan pada triwulan I-2012 yang diperkirakan membesar seiring dengan melambatnya ekspor di tengah impor yang masih tetap tinggi seiring dengan aktivitas ekonomi domestik yang kuat dan tingginya konsumsi BBM. Sementara itu, surplus transaksi modal dan keuangan mengalami penurunan karena arus masuk investasi portofolio yang lebih rendah. Dengan perkembangan tersebut, cadangan devisa sampai dengan akhir Februari 2012 mencapai 112,2 miliar dolar AS, atau setara dengan 6,3 bulan impor dan pembayaran utang luar negeri Pemerintah</t>
  </si>
  <si>
    <t>S214</t>
  </si>
  <si>
    <t>S215</t>
  </si>
  <si>
    <t>S216</t>
  </si>
  <si>
    <t>Nilai tukar Rupiah menguat sehingga menopang berlanjutnya stabilitas perekonomian. Rupiah pada triwulan IV 2018, secara point to point menguat sebesar 3,63% dibandingkan dengan level akhir triwulan III 2018, ditopang NPI yang mencatat surplus. Penguatan Rupiah berlanjut pada Januari 2019 yang mencapai 2,92% dan terus terjadi pada Februari 2019. Tren penguatan Rupiah pada awal 2019 ditopang aliran masuk modal asing ke pasar keuangan domestik seiring terjaganya fundamental ekonomi domestik dan tetap tingginya daya tarik aset keuangan domestik serta berkurangnya ketidakpastian pasar keuangan global. Ke depan, Bank Indonesia memandang nilai tukar Rupiah akan bergerak stabil sesuai mekanisme pasar</t>
  </si>
  <si>
    <t>S217</t>
  </si>
  <si>
    <t>Selama tahun 2007, kinerja perbankan terus mengalami perbaikan dengan pelaksanaan fungsi intermediasi yang meningkat dan stabilitas sistem keuangan yang tetap terjaga. Aset perbankan nasional pada posisi November 2007 mencapai Rp 1.895 triliun (naik 11,9%-ytd), dengan nilai kredit mencapai Rp 1.004,6 triliun atau tumbuh 20,6% (ytd). Khusus bulan November, kredit tumbuh Rp 23,5 triliun, sehingga secara tahunan kredit telah tumbuh sebesar 24,3%(yoy). Pertumbuhan kredit yang lebih tinggi dari pertumbuhan DPK selama tahun 2007, telah berhasil menaikkan LDR perbankan mencapai 69,9%, yang merupakan level tertinggi sejak krisis. Meskipun kredit meningkat cukup tinggi, namun perbankan nasional tetap dapat mengelola resiko kredit dengan baik yang tercermin dari menurunnya NPL gross dari 6,98% menjadi 5,41% dan NPL net dari 3,63% menjadi 2,29%</t>
  </si>
  <si>
    <t>S218</t>
  </si>
  <si>
    <t>Inflasi IHK pada periode bulan Ramadhan tahun ini cukup terkendali dan mendukung pencapaian kisaran sasaran inflasi 2016, yaitu 4±1%. Inflasi pada Juni 2016 tercatat sebesar 0,66% (mtm) atau 3,45% (yoy), relatif lebih rendah dibandingkan dengan rata-rata inflasi periode Ramadhan dalam empat tahun terakhir. Hal ini tidak terlepas dari berbagai kebijakan yang ditempuh Pemerintah serta koordinasi yang kuat antara Pemerintah dan Bank Indonesia dalam menghadapi bulan Ramadhan pada tahun ini. Inflasi terjadi di semua komponen dan terutama bersumber dari komponen bahan makanan bergejolak (volatile foods) dan komponen barang yang diatur Pemerintah (administered prices). Inflasi komponen volatile foods (VF) terutama bersumber dari peningkatan harga beberapa komoditas bahan pangan seiring dengan meningkatnya permintaan di bulan Ramadhan. Sementara itu, inflasi komponen administered prices didorong oleh kenaikan tarif angkutan udara, tarif angkutan antar kota serta penyesuaian tarif listrik akibat kenaikan harga minyak dunia. Di sisi lain, inflasi inti tercatat cukup rendah, yaitu sebesar 0,33% (mtm) atau 3,49% (yoy). Perkembangan inflasi inti tersebut sejalan dengan masih terbatasnya permintaan domestik, menguatnya nilai tukar rupiah dan terkendalinya ekspektasi inflasi</t>
  </si>
  <si>
    <t>S219</t>
  </si>
  <si>
    <t>Ke depan, Bank Indonesia akan terus mencermati dinamika perekonomian dan pasar keuangan global serta dampaknya pada perekonomian domestik. Fokus kebijakan tetap diarahkan untuk menjaga keseimbangan eksternal dengan tetap mendukung pertumbuhan ekonomi domestik. Berbagai kebijakan yang telah dilakukan akan terus dievaluasi dan disesuaikan dengan dinamika perekonomian tersebut. Bank Indonesia juga akan terus memperkuat koordinasi dengan Pemerintah dalam mengelola permintaan domestik dan perbaikan neraca pembayaran agar tetap sejalan dengan upaya menjaga kestabilan ekonomi makro dan kesinambungan pertumbuhan ekonomi nasional Laporan lengkap mengenai pembahasan Rapat Dewan Gubernur (RDG) Oktober 2012 yang memuat perkembangan makroekonomi dan kebijakan moneter dapat dilihat dalam Laporan Kebijakan Moneter (LKM) yang dapat diakses melalui Website Bank Indonesia. Jakarta, 11 Oktober 2012 Kepala Departemen Perencanaan Strategis dan Hubungan Masyarakat</t>
  </si>
  <si>
    <t>S220</t>
  </si>
  <si>
    <t>Rapat Dewan Gubernur (RDG) Bank Indonesia pada 5 Oktober 2010 memutuskan untuk mempertahankan BI Rate pada tingkat 6,50%. Keputusan tersebut didasarkan atas hasil evaluasi menyeluruh terhadap kinerja dan prospek perekonomian yang secara umum menunjukkan peningkatan. Bank Indonesia mencermati adanya tekanan inflasi ditengah masih derasnya arus modal asing yang masuk dan kondisi ekses likuiditas yang masih cukup besar. Untuk saat ini, Dewan Gubernur memandang pengelolaan likuiditas perekonomian merupakan hal yang lebih penting. Sementara itu, level BI Rate saat ini masih konsisten dengan pencapaian sasaran inflasi dan tetap kondusif untuk menjaga stabilitas keuangan dan mendorong intermediasi perbankan, sehingga sisi suppl y dapat merespon akselerasi di sisi permintaan secara memadai</t>
  </si>
  <si>
    <t>BI RDG tone — hand-labelling sheet</t>
  </si>
  <si>
    <t>What to do</t>
  </si>
  <si>
    <t>Go to the 'Label' sheet. For every row, read the text and fill in the YELLOW cells: Label, Confidence, Forward-looking and (optionally) Notes. Nothing else needs editing.</t>
  </si>
  <si>
    <t>The question</t>
  </si>
  <si>
    <t>Read as a bond trader would: does this paragraph point BI toward HIGHER rates / tighter policy (Hawkish), toward LOWER rates / easier policy (Dovish), or neither (Neutral)?</t>
  </si>
  <si>
    <t>Blind by design</t>
  </si>
  <si>
    <t>Dates and decisions are hidden on purpose. Judge only the text in front of you; don't try to guess the year or look up the meeting.</t>
  </si>
  <si>
    <t>Labels</t>
  </si>
  <si>
    <t>Hawkish</t>
  </si>
  <si>
    <t>Signals upward pressure on rates: inflation rising or above target, rupiah depreciating or under pressure, overheating demand/credit, capital outflows, BI 'vigilant' (waspada) about risks, stance described as ketat / pre-emptive / ahead of the curve.</t>
  </si>
  <si>
    <t>Dovish</t>
  </si>
  <si>
    <t>Signals room for lower rates: inflation low or falling within target, rupiah stable or strengthening, growth weak or slowing, credit sluggish, stance described as longgar / akomodatif / mendorong pertumbuhan, explicit 'ruang penurunan' (room to cut).</t>
  </si>
  <si>
    <t>Neutral</t>
  </si>
  <si>
    <t>Descriptive with no stance implication, balanced (risks both ways), or not about monetary conditions at all.</t>
  </si>
  <si>
    <t>Topic matters</t>
  </si>
  <si>
    <t>Same word, different sign</t>
  </si>
  <si>
    <t>Read the direction word together with its topic. Inflasi / kredit / defisit meningkat → HAWKISH.  Pertumbuhan melambat / melemah → DOVISH; pertumbuhan kuat / tinggi → leans HAWKISH.  Rupiah melemah / terdepresiasi → HAWKISH; Rupiah menguat / stabil → leans DOVISH.</t>
  </si>
  <si>
    <t>Negation</t>
  </si>
  <si>
    <t>'tidak meningkat', 'belum pulih' etc. reverse or qualify the direction word.</t>
  </si>
  <si>
    <t>Decision paragraphs</t>
  </si>
  <si>
    <t>A paragraph announcing the rate decision: hike → Hawkish, cut → Dovish, hold → judge the reasoning that follows (a hold 'to anticipate inflation pressure' is Hawkish; a hold 'to support growth' is Dovish; a plain hold is Neutral).</t>
  </si>
  <si>
    <t>Other columns</t>
  </si>
  <si>
    <t>Confidence</t>
  </si>
  <si>
    <t>1 = unsure / could argue either way · 2 = fairly sure · 3 = clear-cut.</t>
  </si>
  <si>
    <t>Forward-looking</t>
  </si>
  <si>
    <t>Y if the paragraph is mainly about the future (diperkirakan, ke depan, akan, prospek, proyeksi); N if it mainly describes what already happened.</t>
  </si>
  <si>
    <t>Anything useful: ambiguous wording, mixed signals, a phrase that decided it for you.</t>
  </si>
  <si>
    <t>Example (not part of the sample)</t>
  </si>
  <si>
    <t>Text</t>
  </si>
  <si>
    <t>Inflasi inti diperkirakan meningkat seiring dengan tekanan depresiasi nilai tukar Rupiah dan kenaikan ekspektasi inflasi.</t>
  </si>
  <si>
    <t>Label / Conf. / Fwd</t>
  </si>
  <si>
    <t>Hawkish  ·  3  ·  Y</t>
  </si>
  <si>
    <t>Why</t>
  </si>
  <si>
    <t>Core inflation expected to rise + rupiah depreciation pressure → both point to tighter policy.</t>
  </si>
  <si>
    <t>Tips</t>
  </si>
  <si>
    <t>About 220 rows ≈ 2 hours. Take breaks; your progress is shown below. Some items appear twice on purpose (to measure labelling consistency) — just label them again as you see them, without scrolling back.</t>
  </si>
  <si>
    <t>Progress</t>
  </si>
  <si>
    <t>Items in sample</t>
  </si>
  <si>
    <t>Labelled so far</t>
  </si>
  <si>
    <t>Remaining</t>
  </si>
  <si>
    <t>% done</t>
  </si>
  <si>
    <t>item</t>
  </si>
  <si>
    <t>repeat_of</t>
  </si>
  <si>
    <t>code</t>
  </si>
  <si>
    <t>lang</t>
  </si>
  <si>
    <t>date</t>
  </si>
  <si>
    <t>era</t>
  </si>
  <si>
    <t>section_order</t>
  </si>
  <si>
    <t>topic</t>
  </si>
  <si>
    <t>heading_key</t>
  </si>
  <si>
    <t>n_words</t>
  </si>
  <si>
    <t>direction</t>
  </si>
  <si>
    <t>bps</t>
  </si>
  <si>
    <t>rate_level</t>
  </si>
  <si>
    <t>183816</t>
  </si>
  <si>
    <t>id</t>
  </si>
  <si>
    <t>2016-05-19</t>
  </si>
  <si>
    <t>2012-16</t>
  </si>
  <si>
    <t>global</t>
  </si>
  <si>
    <t>ekonomi global diperkirakan tumbuh lebih lambat</t>
  </si>
  <si>
    <t>hold</t>
  </si>
  <si>
    <t>160813</t>
  </si>
  <si>
    <t>2014-02-13</t>
  </si>
  <si>
    <t>other</t>
  </si>
  <si>
    <t>penyesuaian ekonomi indonesia yang terkendali ditopang</t>
  </si>
  <si>
    <t>207318</t>
  </si>
  <si>
    <t>2018-09-27</t>
  </si>
  <si>
    <t>2017-20</t>
  </si>
  <si>
    <t>growth</t>
  </si>
  <si>
    <t>pertumbuhan ekonomi global semakin tidak merata</t>
  </si>
  <si>
    <t>hike</t>
  </si>
  <si>
    <t>2612524</t>
  </si>
  <si>
    <t>2024-06-20</t>
  </si>
  <si>
    <t>2021-26</t>
  </si>
  <si>
    <t>ketidakpastian pasar keuangan global tetap tinggi</t>
  </si>
  <si>
    <t>100608-1</t>
  </si>
  <si>
    <t>2008-06-05</t>
  </si>
  <si>
    <t>2005-11</t>
  </si>
  <si>
    <t>inflation</t>
  </si>
  <si>
    <t>inflasi ihk mei 2008 secara bulanan</t>
  </si>
  <si>
    <t>101908</t>
  </si>
  <si>
    <t>2008-04-03</t>
  </si>
  <si>
    <t>exchange_rate</t>
  </si>
  <si>
    <t>nilai tukar rupiah bergerak relatif stabil</t>
  </si>
  <si>
    <t>2620124</t>
  </si>
  <si>
    <t>2024-09-18</t>
  </si>
  <si>
    <t>inflasi tetap rendah dan terjaga dalam</t>
  </si>
  <si>
    <t>cut</t>
  </si>
  <si>
    <t>SP8422006</t>
  </si>
  <si>
    <t>2006-08-08</t>
  </si>
  <si>
    <t>sementara itu nilai tukar rupiah sedikit</t>
  </si>
  <si>
    <t>226420</t>
  </si>
  <si>
    <t>2020-08-19</t>
  </si>
  <si>
    <t>nilai tukar rupiah tetap terkendali dengan</t>
  </si>
  <si>
    <t>101208</t>
  </si>
  <si>
    <t>2008-03-06</t>
  </si>
  <si>
    <t>decision</t>
  </si>
  <si>
    <t>rapat dewan gubernur rdg bank indonesia</t>
  </si>
  <si>
    <t>160214</t>
  </si>
  <si>
    <t>2014-01-09</t>
  </si>
  <si>
    <t>kinerja npi yang menurun memberikan tekanan</t>
  </si>
  <si>
    <t>181416</t>
  </si>
  <si>
    <t>2016-02-18</t>
  </si>
  <si>
    <t>monetary_policy</t>
  </si>
  <si>
    <t>keputusan tersebut sejalan dengan ruang pelonggaran</t>
  </si>
  <si>
    <t>2727425</t>
  </si>
  <si>
    <t>2025-11-19</t>
  </si>
  <si>
    <t>bank indonesia terus memperkuat kebijakan moneter</t>
  </si>
  <si>
    <t>221320</t>
  </si>
  <si>
    <t>2020-02-20</t>
  </si>
  <si>
    <t>inflasi tetap terkendali pada level yang</t>
  </si>
  <si>
    <t>04032011</t>
  </si>
  <si>
    <t>2011-03-04</t>
  </si>
  <si>
    <t>tren penguatan nilai tukar rupiah yang</t>
  </si>
  <si>
    <t>2725025</t>
  </si>
  <si>
    <t>2025-10-22</t>
  </si>
  <si>
    <t>credit</t>
  </si>
  <si>
    <t>pertumbuhan kredit perbankan perlu terus ditingkatkan</t>
  </si>
  <si>
    <t>123910</t>
  </si>
  <si>
    <t>2010-08-04</t>
  </si>
  <si>
    <t>bank indonesia akan terus memperkuat langkah</t>
  </si>
  <si>
    <t>286526</t>
  </si>
  <si>
    <t>2026-03-17</t>
  </si>
  <si>
    <t>banking_resilience</t>
  </si>
  <si>
    <t>ketahanan perbankan tetap kuat sehingga diprakirakan</t>
  </si>
  <si>
    <t>093807</t>
  </si>
  <si>
    <t>2007-11-06</t>
  </si>
  <si>
    <t>sampai dengan akhir tahun 2007 inflasi</t>
  </si>
  <si>
    <t>bank indonesia menetapkan kebijakan rasio pendanaan</t>
  </si>
  <si>
    <t>203218</t>
  </si>
  <si>
    <t>2018-04-19</t>
  </si>
  <si>
    <t>bop</t>
  </si>
  <si>
    <t>neraca perdagangan indonesia pada maret 2018</t>
  </si>
  <si>
    <t>133011</t>
  </si>
  <si>
    <t>2011-09-08</t>
  </si>
  <si>
    <t>tekanan inflasi terkendali</t>
  </si>
  <si>
    <t>218219</t>
  </si>
  <si>
    <t>2019-11-21</t>
  </si>
  <si>
    <t>transmisi pelonggaran kebijakan moneter terus berlanjut</t>
  </si>
  <si>
    <t>227120</t>
  </si>
  <si>
    <t>2020-09-17</t>
  </si>
  <si>
    <t>inflasi tetap rendah sejalan permintaan yang</t>
  </si>
  <si>
    <t>ekspor yang membaik mendorong menurunnya defisit</t>
  </si>
  <si>
    <t>228720</t>
  </si>
  <si>
    <t>2020-11-19</t>
  </si>
  <si>
    <t>pertumbuhan ekonomi domestik juga membaik sejalan</t>
  </si>
  <si>
    <t>209618</t>
  </si>
  <si>
    <t>2018-12-20</t>
  </si>
  <si>
    <t>inflasi tetap rendah dan stabil berada</t>
  </si>
  <si>
    <t>2814226</t>
  </si>
  <si>
    <t>2026-07-22</t>
  </si>
  <si>
    <t>perekonomian domestik secara perlahan juga membaik</t>
  </si>
  <si>
    <t>185616</t>
  </si>
  <si>
    <t>2016-07-21</t>
  </si>
  <si>
    <t>pertumbuhan ekonomi domestik pada triwulan ii</t>
  </si>
  <si>
    <t>232021</t>
  </si>
  <si>
    <t>2021-01-21</t>
  </si>
  <si>
    <t>nilai tukar rupiah menguat didukung langkah</t>
  </si>
  <si>
    <t>182316</t>
  </si>
  <si>
    <t>2016-03-17</t>
  </si>
  <si>
    <t>stabilitas sistem keuangan tetap terjaga ditopang</t>
  </si>
  <si>
    <t>121110</t>
  </si>
  <si>
    <t>2010-03-04</t>
  </si>
  <si>
    <t>perbaikan kinerja sektor eksternal tersebut juga</t>
  </si>
  <si>
    <t>205118</t>
  </si>
  <si>
    <t>2018-06-29</t>
  </si>
  <si>
    <t>neraca perdagangan indonesia pada mei 2018</t>
  </si>
  <si>
    <t>170515</t>
  </si>
  <si>
    <t>2015-01-15</t>
  </si>
  <si>
    <t>pengelolaan stabilitas makroekonomi nasional di 2014</t>
  </si>
  <si>
    <t>093607</t>
  </si>
  <si>
    <t>2007-10-08</t>
  </si>
  <si>
    <t>ekspansi perekonomian masih berlanjut di triwulan</t>
  </si>
  <si>
    <t>83206</t>
  </si>
  <si>
    <t>2006-06-06</t>
  </si>
  <si>
    <t>di sisi perbankan berbagai indikator menunjukkan</t>
  </si>
  <si>
    <t>220420</t>
  </si>
  <si>
    <t>2020-01-23</t>
  </si>
  <si>
    <t>neraca pembayaran indonesia npi triwulan iv</t>
  </si>
  <si>
    <t>177515</t>
  </si>
  <si>
    <t>2015-10-15</t>
  </si>
  <si>
    <t>pemulihan ekonomi global masih terbatas sementara</t>
  </si>
  <si>
    <t>2721925</t>
  </si>
  <si>
    <t>2025-09-17</t>
  </si>
  <si>
    <t>perekonomian dunia masih dalam tren melambat</t>
  </si>
  <si>
    <t>150613</t>
  </si>
  <si>
    <t>2013-03-07</t>
  </si>
  <si>
    <t>inflasi ihk februari 2013 mencapai 0</t>
  </si>
  <si>
    <t>211219</t>
  </si>
  <si>
    <t>2019-02-21</t>
  </si>
  <si>
    <t>166414</t>
  </si>
  <si>
    <t>2014-09-11</t>
  </si>
  <si>
    <t>neraca perdagangan mencatat surplus terutama berasal</t>
  </si>
  <si>
    <t>090807</t>
  </si>
  <si>
    <t>2007-02-06</t>
  </si>
  <si>
    <t>sementara itu secara umum kondisi industri</t>
  </si>
  <si>
    <t>284326</t>
  </si>
  <si>
    <t>2026-02-19</t>
  </si>
  <si>
    <t>inflasi indeks harga konsumen ihk tetap</t>
  </si>
  <si>
    <t>288426</t>
  </si>
  <si>
    <t>2026-04-22</t>
  </si>
  <si>
    <t>pertumbuhan ekonomi indonesia perlu terus</t>
  </si>
  <si>
    <t>2510223</t>
  </si>
  <si>
    <t>2023-04-18</t>
  </si>
  <si>
    <t>nilai tukar rupiah menguat sejalan dengan</t>
  </si>
  <si>
    <t>225220</t>
  </si>
  <si>
    <t>2020-07-16</t>
  </si>
  <si>
    <t>inflasi tetap rendah dan mendukung stabilitas</t>
  </si>
  <si>
    <t>2625424</t>
  </si>
  <si>
    <t>2024-11-20</t>
  </si>
  <si>
    <t>kebijakan nilai tukar bank indonesia terus</t>
  </si>
  <si>
    <t>ketidakpastian global kembali meningkat pasca re</t>
  </si>
  <si>
    <t>19462017</t>
  </si>
  <si>
    <t>2017-06-15</t>
  </si>
  <si>
    <t>131111</t>
  </si>
  <si>
    <t>2011-04-12</t>
  </si>
  <si>
    <t>di sisi domestik dewan gubernur berpandangan</t>
  </si>
  <si>
    <t>2435022</t>
  </si>
  <si>
    <t>2022-12-22</t>
  </si>
  <si>
    <t>likuiditas perbankan dan perekonomian masih memadai</t>
  </si>
  <si>
    <t>222220</t>
  </si>
  <si>
    <t>2020-03-19</t>
  </si>
  <si>
    <t>transmisi pelonggaran kebijakan moneter tetap berjalan</t>
  </si>
  <si>
    <t>215219</t>
  </si>
  <si>
    <t>2019-07-18</t>
  </si>
  <si>
    <t>pertumbuhan ekonomi indonesia triwulan ii 2019</t>
  </si>
  <si>
    <t>171715</t>
  </si>
  <si>
    <t>2015-03-17</t>
  </si>
  <si>
    <t>nilai tukar rupiah terhadap dolar as</t>
  </si>
  <si>
    <t>151413</t>
  </si>
  <si>
    <t>2013-07-11</t>
  </si>
  <si>
    <t>nilai tukar rupiah pada triwulan ii</t>
  </si>
  <si>
    <t>15913</t>
  </si>
  <si>
    <t>2013-04-11</t>
  </si>
  <si>
    <t>stabilitas sistem keuangan dan fungsi intermediasi</t>
  </si>
  <si>
    <t>223020</t>
  </si>
  <si>
    <t>2020-04-14</t>
  </si>
  <si>
    <t>defisit transaksi berjalan diprakirakan akan rendah</t>
  </si>
  <si>
    <t>186716</t>
  </si>
  <si>
    <t>2016-08-19</t>
  </si>
  <si>
    <t>pertumbuhan ekonomi indonesia meningkat pada triwulan</t>
  </si>
  <si>
    <t>8706</t>
  </si>
  <si>
    <t>2006-02-07</t>
  </si>
  <si>
    <t>seiring dengan keyakinan terhadap prospek perekonomian</t>
  </si>
  <si>
    <t>142412</t>
  </si>
  <si>
    <t>2012-07-12</t>
  </si>
  <si>
    <t>SP079805</t>
  </si>
  <si>
    <t>2005-11-01</t>
  </si>
  <si>
    <t>evaluasi perekonomian sampai dengan oktober 2005</t>
  </si>
  <si>
    <t>152113</t>
  </si>
  <si>
    <t>2013-08-15</t>
  </si>
  <si>
    <t>nilai tukar rupiah selama juli 2013</t>
  </si>
  <si>
    <t>2431322</t>
  </si>
  <si>
    <t>2022-11-17</t>
  </si>
  <si>
    <t>nilai tukar rupiah tetap terkendali sesuai</t>
  </si>
  <si>
    <t>di sisi domestik pertumbuhan ekonomi indonesia</t>
  </si>
  <si>
    <t>223920</t>
  </si>
  <si>
    <t>2020-05-19</t>
  </si>
  <si>
    <t>money_supply</t>
  </si>
  <si>
    <t>kondisi likuiditas perbankan tetap memadai dan</t>
  </si>
  <si>
    <t>neraca pembayaran indonesia npi pada triwulan</t>
  </si>
  <si>
    <t>ekspektasi inflasi masih tinggi meskipun i</t>
  </si>
  <si>
    <t>278425</t>
  </si>
  <si>
    <t>2025-04-23</t>
  </si>
  <si>
    <t>205518</t>
  </si>
  <si>
    <t>2018-07-19</t>
  </si>
  <si>
    <t>stabilitas sistem keuangan tetap terjaga pada</t>
  </si>
  <si>
    <t>155013</t>
  </si>
  <si>
    <t>2013-12-12</t>
  </si>
  <si>
    <t>bank indonesia menilai ekonomi global pada</t>
  </si>
  <si>
    <t>prospek perekonomian global dalam tren melambat</t>
  </si>
  <si>
    <t>pertumbuhan ekonomi indonesia perlu makin ditingkatkan</t>
  </si>
  <si>
    <t>16452014</t>
  </si>
  <si>
    <t>2014-07-10</t>
  </si>
  <si>
    <t>tekanan depresiasi terhadap nilai tukar rupiah</t>
  </si>
  <si>
    <t>12062012</t>
  </si>
  <si>
    <t>2012-06-12</t>
  </si>
  <si>
    <t>sistem keuangan tetap stabil dengan ketahanan</t>
  </si>
  <si>
    <t>2333221</t>
  </si>
  <si>
    <t>2021-12-16</t>
  </si>
  <si>
    <t>suku bunga kebijakan moneter yang tetap</t>
  </si>
  <si>
    <t>183116</t>
  </si>
  <si>
    <t>2016-04-21</t>
  </si>
  <si>
    <t>kinerja perbankan relatif tetap baik dengan</t>
  </si>
  <si>
    <t>281326</t>
  </si>
  <si>
    <t>2026-01-21</t>
  </si>
  <si>
    <t>macroprudential</t>
  </si>
  <si>
    <t>penguatan kebijakan insentif likuiditas makroprudensial klm</t>
  </si>
  <si>
    <t>menyikapi berbagai tantangan dan faktor risiko</t>
  </si>
  <si>
    <t>stabilitas sistem keuangan masih terjaga didukung</t>
  </si>
  <si>
    <t>stabilitas sistem keuangan tetap terjaga meskipun</t>
  </si>
  <si>
    <t>bank indonesia juga menempuh kebijakan makroprudensial</t>
  </si>
  <si>
    <t>244122</t>
  </si>
  <si>
    <t>2022-02-10</t>
  </si>
  <si>
    <t>kondisi likuiditas</t>
  </si>
  <si>
    <t>132011</t>
  </si>
  <si>
    <t>2011-06-09</t>
  </si>
  <si>
    <t>tren apresiasi nilai tukar rupiah masih</t>
  </si>
  <si>
    <t>092407</t>
  </si>
  <si>
    <t>2007-07-05</t>
  </si>
  <si>
    <t>bank indonesia akan tetap melaksanakan kebijakan</t>
  </si>
  <si>
    <t>111809</t>
  </si>
  <si>
    <t>2009-07-03</t>
  </si>
  <si>
    <t>kedepan perekonomian indonesia pada tahun 2009</t>
  </si>
  <si>
    <t>2514023</t>
  </si>
  <si>
    <t>2023-05-25</t>
  </si>
  <si>
    <t>kinerja neraca pembayaran indonesia triwulan ii</t>
  </si>
  <si>
    <t>ke depan dewan gubernur tetap fokus</t>
  </si>
  <si>
    <t>093007</t>
  </si>
  <si>
    <t>2007-08-07</t>
  </si>
  <si>
    <t>dari sisi perkembangan harga harga inflasi</t>
  </si>
  <si>
    <t>2617924</t>
  </si>
  <si>
    <t>2024-08-21</t>
  </si>
  <si>
    <t>inflasi menurun dan tetap terjaga dalam</t>
  </si>
  <si>
    <t>2523323</t>
  </si>
  <si>
    <t>2023-08-24</t>
  </si>
  <si>
    <t>tekanan inflasi terus menurun dan semakin</t>
  </si>
  <si>
    <t>bauran kebijakan bank indonesia terus diperkuat</t>
  </si>
  <si>
    <t>2321321</t>
  </si>
  <si>
    <t>2021-08-19</t>
  </si>
  <si>
    <t>inflasi tetap rendah</t>
  </si>
  <si>
    <t>121710</t>
  </si>
  <si>
    <t>2010-04-06</t>
  </si>
  <si>
    <t>penguatan ekonomi domestik tercermin pada perkembangan</t>
  </si>
  <si>
    <t>nilai tukar rupiah tetap terkendali didukung</t>
  </si>
  <si>
    <t>2610824</t>
  </si>
  <si>
    <t>2024-05-22</t>
  </si>
  <si>
    <t>kontraksi perekonomian global berlanjut dan pemulihan</t>
  </si>
  <si>
    <t>265424</t>
  </si>
  <si>
    <t>2024-03-20</t>
  </si>
  <si>
    <t>momentum pemulihan ekonomi global berlanjut</t>
  </si>
  <si>
    <t>195317</t>
  </si>
  <si>
    <t>2017-07-20</t>
  </si>
  <si>
    <t>pergerakan nilai tukar rupiah cukup stabil</t>
  </si>
  <si>
    <t>inflasi pada agustus 2014 menurun seiring</t>
  </si>
  <si>
    <t>ke depan kebijakan bank indonesia pada</t>
  </si>
  <si>
    <t>dengan mempertimbangkan berbagai perkembangan di atas</t>
  </si>
  <si>
    <t>163914</t>
  </si>
  <si>
    <t>2014-06-12</t>
  </si>
  <si>
    <t>inflasi pada mei 2014 masih terkendali</t>
  </si>
  <si>
    <t>208718</t>
  </si>
  <si>
    <t>2018-11-15</t>
  </si>
  <si>
    <t>nilai tukar rupiah bergerak sesuai mekanisme</t>
  </si>
  <si>
    <t>206618</t>
  </si>
  <si>
    <t>2018-08-15</t>
  </si>
  <si>
    <t>nilai tukar rupiah masih mengalami tekanan</t>
  </si>
  <si>
    <t>dewan gubernur mencatat bahwa pertumbuhan ekonomi</t>
  </si>
  <si>
    <t>241522</t>
  </si>
  <si>
    <t>2022-01-20</t>
  </si>
  <si>
    <t>nilai tukar rupiah terjaga</t>
  </si>
  <si>
    <t>nilai tukar rupiah mengalami apresiasi sebesar</t>
  </si>
  <si>
    <t>2428522</t>
  </si>
  <si>
    <t>2022-10-20</t>
  </si>
  <si>
    <t>inflasi lebih rendah dari prakiraan awal</t>
  </si>
  <si>
    <t>151813-2</t>
  </si>
  <si>
    <t>2013-05-14</t>
  </si>
  <si>
    <t>pertumbuhan ekonomi indonesia tetap baik dan</t>
  </si>
  <si>
    <t>150313</t>
  </si>
  <si>
    <t>2013-02-12</t>
  </si>
  <si>
    <t>ketidakpastian pasar keuangan global semakin mereda</t>
  </si>
  <si>
    <t>130111</t>
  </si>
  <si>
    <t>2011-01-05</t>
  </si>
  <si>
    <t>momentum pemulihan ekonomi global kembali meningkat</t>
  </si>
  <si>
    <t>123110</t>
  </si>
  <si>
    <t>2010-07-05</t>
  </si>
  <si>
    <t>ke depan perkembangan ekonomi global dan</t>
  </si>
  <si>
    <t>260924</t>
  </si>
  <si>
    <t>2024-01-17</t>
  </si>
  <si>
    <t>neraca pembayaran indonesia npi</t>
  </si>
  <si>
    <t>124210</t>
  </si>
  <si>
    <t>2010-09-03</t>
  </si>
  <si>
    <t>di bidang stabilitas sistem keuangan dewan</t>
  </si>
  <si>
    <t>melemahnya perekonomian dunia mulai berdampak pada</t>
  </si>
  <si>
    <t>81906</t>
  </si>
  <si>
    <t>2006-04-05</t>
  </si>
  <si>
    <t>1</t>
  </si>
  <si>
    <t>124310</t>
  </si>
  <si>
    <t>2010-10-05</t>
  </si>
  <si>
    <t>2614424</t>
  </si>
  <si>
    <t>2024-07-17</t>
  </si>
  <si>
    <t>untuk memperkuat stabilitas nilai tukar rupiah</t>
  </si>
  <si>
    <t>112209</t>
  </si>
  <si>
    <t>2009-08-05</t>
  </si>
  <si>
    <t>di sektor keuangan respons suku bunga</t>
  </si>
  <si>
    <t>nilai tukar rupiah tetap terkendali di</t>
  </si>
  <si>
    <t>090107</t>
  </si>
  <si>
    <t>2007-01-04</t>
  </si>
  <si>
    <t>sejak mei 2006 bank indonesia secara</t>
  </si>
  <si>
    <t>bi_rate_090805-1</t>
  </si>
  <si>
    <t>2005-08-09</t>
  </si>
  <si>
    <t>nilai tukar rupiah pada bulan juli</t>
  </si>
  <si>
    <t>168914</t>
  </si>
  <si>
    <t>2014-11-13</t>
  </si>
  <si>
    <t>inflasi terjaga dan berada dalam tren</t>
  </si>
  <si>
    <t>kedepan kebijakan bank indonesia pada tahun</t>
  </si>
  <si>
    <t>2413622</t>
  </si>
  <si>
    <t>2022-05-24</t>
  </si>
  <si>
    <t>nilai tukar rupiah terdepresiasi sejalan dengan</t>
  </si>
  <si>
    <t>132111</t>
  </si>
  <si>
    <t>2011-07-12</t>
  </si>
  <si>
    <t>stabilitas sistem perbankan tetap terjaga yang</t>
  </si>
  <si>
    <t>175615</t>
  </si>
  <si>
    <t>2015-07-14</t>
  </si>
  <si>
    <t>tekanan inflasi di bulan juni 2015</t>
  </si>
  <si>
    <t>82306</t>
  </si>
  <si>
    <t>2006-05-09</t>
  </si>
  <si>
    <t>nilai tukar rupiah tetap dalam tren</t>
  </si>
  <si>
    <t>218819</t>
  </si>
  <si>
    <t>2019-12-19</t>
  </si>
  <si>
    <t>pertumbuhan ekonomi indonesia tetap terjaga ditopang</t>
  </si>
  <si>
    <t>144512</t>
  </si>
  <si>
    <t>2012-12-11</t>
  </si>
  <si>
    <t>nilai tukar yang mengalami tekanan depresiasi</t>
  </si>
  <si>
    <t>2810726</t>
  </si>
  <si>
    <t>2026-05-20</t>
  </si>
  <si>
    <t>kinerja neraca pembayaran indonesia npi perlu</t>
  </si>
  <si>
    <t>dewan gubernur memandang bahwa pemulihan ekonomi</t>
  </si>
  <si>
    <t>102308</t>
  </si>
  <si>
    <t>2008-05-06</t>
  </si>
  <si>
    <t>inflasi bulan april 2008 tercatat sebesar</t>
  </si>
  <si>
    <t>122310</t>
  </si>
  <si>
    <t>2010-05-05</t>
  </si>
  <si>
    <t>perbaikan kinerja sektor eksternal tersebut berdampak</t>
  </si>
  <si>
    <t>179515</t>
  </si>
  <si>
    <t>2015-12-17</t>
  </si>
  <si>
    <t>tantangan yang dihadapi ekonomi indonesia selama</t>
  </si>
  <si>
    <t>86106</t>
  </si>
  <si>
    <t>2006-12-07</t>
  </si>
  <si>
    <t>nilai tukar rupiah menguat dengan volatilitas</t>
  </si>
  <si>
    <t>14312</t>
  </si>
  <si>
    <t>2012-02-09</t>
  </si>
  <si>
    <t>stabilitas sistem keuangan tetap terjaga yang</t>
  </si>
  <si>
    <t>stabilitas sistem keuangan tetap terjaga disertai</t>
  </si>
  <si>
    <t>212519</t>
  </si>
  <si>
    <t>2019-04-25</t>
  </si>
  <si>
    <t>pertumbuhan ekonomi triwulan i 2019 diprakirakan</t>
  </si>
  <si>
    <t>229520</t>
  </si>
  <si>
    <t>2020-12-17</t>
  </si>
  <si>
    <t>sejalan dengan kebijakan moneter dan makroprudensial</t>
  </si>
  <si>
    <t>dengan langkah langkah stabilisasi bank indonesia</t>
  </si>
  <si>
    <t>227520</t>
  </si>
  <si>
    <t>2020-10-13</t>
  </si>
  <si>
    <t>proses pemulihan ekonomi global tertahan setelah</t>
  </si>
  <si>
    <t>140512</t>
  </si>
  <si>
    <t>2012-03-08</t>
  </si>
  <si>
    <t>stabilitas sistem perbankan tetap terjaga dan</t>
  </si>
  <si>
    <t>104508</t>
  </si>
  <si>
    <t>2008-10-07</t>
  </si>
  <si>
    <t>keputusan ini diambil setelah mencermati dan</t>
  </si>
  <si>
    <t>ke depan bank indonesia memandang bahwa</t>
  </si>
  <si>
    <t>2715325</t>
  </si>
  <si>
    <t>2025-07-16</t>
  </si>
  <si>
    <t>pertumbuhan ekonomi indonesia perlu terus didorong</t>
  </si>
  <si>
    <t>untuk mendorong lebih lanjut pendalaman pasar</t>
  </si>
  <si>
    <t>093207</t>
  </si>
  <si>
    <t>2007-09-06</t>
  </si>
  <si>
    <t>sementara itu kinerja neraca pembayaran indonesia</t>
  </si>
  <si>
    <t>2713325</t>
  </si>
  <si>
    <t>2025-06-18</t>
  </si>
  <si>
    <t>153013</t>
  </si>
  <si>
    <t>2013-09-12</t>
  </si>
  <si>
    <t>neraca pembayaran indonesia diprakirakan akan membaik</t>
  </si>
  <si>
    <t>inflasi 2020 tercatat rendah sejalan permintaan</t>
  </si>
  <si>
    <t>ditengah tekanan ekonomi global ketahanan sistem</t>
  </si>
  <si>
    <t>122510</t>
  </si>
  <si>
    <t>2010-06-03</t>
  </si>
  <si>
    <t>di sisi harga tekanan inflasi sampai</t>
  </si>
  <si>
    <t>pertumbuhan ekonomi dunia melambat namun ketidakpastian</t>
  </si>
  <si>
    <t>173815</t>
  </si>
  <si>
    <t>2015-05-19</t>
  </si>
  <si>
    <t>inflasi pada april 2015 tetap terkendali</t>
  </si>
  <si>
    <t>224620</t>
  </si>
  <si>
    <t>2020-06-18</t>
  </si>
  <si>
    <t>perekonomian global mulai menunjukkan tanda tanda</t>
  </si>
  <si>
    <t>di sisi global asesmen bank indonesia</t>
  </si>
  <si>
    <t>208218</t>
  </si>
  <si>
    <t>2018-10-23</t>
  </si>
  <si>
    <t>inflasi masih terkendali pada level yang</t>
  </si>
  <si>
    <t>178615</t>
  </si>
  <si>
    <t>2015-11-17</t>
  </si>
  <si>
    <t>pertumbuhan ekonomi meningkat pada triwulan iii</t>
  </si>
  <si>
    <t>neraca pembayaran indonesia npi tetap sehat</t>
  </si>
  <si>
    <t>di sisi harga dewan gubernur mencatat</t>
  </si>
  <si>
    <t>270825</t>
  </si>
  <si>
    <t>2025-01-15</t>
  </si>
  <si>
    <t>ketahanan sistem keuangan terjaga baik likuiditas</t>
  </si>
  <si>
    <t>neraca pembayaran indonesia npi diprakirakan tetap</t>
  </si>
  <si>
    <t>di sisi domestik dewan gubernur menilai</t>
  </si>
  <si>
    <t>140112</t>
  </si>
  <si>
    <t>2012-01-12</t>
  </si>
  <si>
    <t>inflasi tahun 2011 mencapai 3 79</t>
  </si>
  <si>
    <t>ketidakpastian pasar keuangan global mulai mereda</t>
  </si>
  <si>
    <t>perekonomian indonesia pada triwulan i 2018</t>
  </si>
  <si>
    <t>ketahanan sektor eksternal indonesia pada triwulan</t>
  </si>
  <si>
    <t>192917</t>
  </si>
  <si>
    <t>2017-04-20</t>
  </si>
  <si>
    <t>indeks harga konsumen ihk pada bulan</t>
  </si>
  <si>
    <t>172915</t>
  </si>
  <si>
    <t>2015-04-14</t>
  </si>
  <si>
    <t>inflasi pada maret 2015 tetap terkendali</t>
  </si>
  <si>
    <t>143212</t>
  </si>
  <si>
    <t>2012-09-13</t>
  </si>
  <si>
    <t>sesuai dengan prakiraan neraca pembayaran indonesia</t>
  </si>
  <si>
    <t>2314421</t>
  </si>
  <si>
    <t>2021-06-17</t>
  </si>
  <si>
    <t>ketahanan sistem keuangan tetap terjaga meskipun</t>
  </si>
  <si>
    <t>berlanjutnya ketegangan hubungan dagang as tiongkok</t>
  </si>
  <si>
    <t>273625</t>
  </si>
  <si>
    <t>2025-02-19</t>
  </si>
  <si>
    <t>kredit perbankan tetap kuat mendukung pertumbuhan</t>
  </si>
  <si>
    <t>stabilitas sistem keuangan secara umum tetap</t>
  </si>
  <si>
    <t>nilai tukar rupiah menguat setelah mengalami</t>
  </si>
  <si>
    <t>kondisi likuiditas lebih dari cukup sehingga</t>
  </si>
  <si>
    <t>kinerja neraca pembayaran indonesia npi pada</t>
  </si>
  <si>
    <t>nilai tukar rupiah menguat sehingga menopang</t>
  </si>
  <si>
    <t>100308</t>
  </si>
  <si>
    <t>2008-01-08</t>
  </si>
  <si>
    <t>selama tahun 2007 kinerja perbankan terus</t>
  </si>
  <si>
    <t>inflasi ihk pada periode bulan ramadhan</t>
  </si>
  <si>
    <t>143312</t>
  </si>
  <si>
    <t>2012-10-11</t>
  </si>
  <si>
    <t>ke depan bank indonesia akan terus</t>
  </si>
  <si>
    <t>Hidden answer key: maps each item back to its release. 'repeat_of' marks the 20 consistency repeats. Generated by make_labeling_sheet.py, seed 20260930.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</si>
</sst>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b/>
      <sz val="16"/>
      <color rgb="FF1F3864"/>
      <name val="Arial"/>
    </font>
    <font>
      <b/>
      <sz val="10"/>
      <name val="Arial"/>
    </font>
    <font>
      <sz val="10"/>
      <name val="Arial"/>
    </font>
    <font>
      <b/>
      <sz val="12"/>
      <color rgb="FF1F3864"/>
      <name val="Arial"/>
    </font>
    <font>
      <b/>
      <sz val="10"/>
      <color rgb="FFFFFFFF"/>
      <name val="Arial"/>
    </font>
    <font>
      <i/>
      <sz val="9"/>
      <name val="Arial"/>
    </font>
    <font>
      <sz val="8"/>
      <name val="맑은 고딕"/>
      <family val="3"/>
      <charset val="129"/>
      <scheme val="minor"/>
    </font>
    <font>
      <sz val="11"/>
      <color rgb="FF000000"/>
      <name val="맑은 고딕"/>
      <family val="2"/>
      <charset val="129"/>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2" fillId="0" borderId="0" xfId="0" applyFont="1"/>
    <xf numFmtId="0" fontId="3" fillId="0" borderId="0" xfId="0" applyFont="1" applyAlignment="1">
      <alignment horizontal="left"/>
    </xf>
    <xf numFmtId="9" fontId="3" fillId="0" borderId="0" xfId="0" applyNumberFormat="1" applyFont="1" applyAlignment="1">
      <alignment horizontal="left"/>
    </xf>
    <xf numFmtId="0" fontId="5"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0" borderId="1" xfId="0" applyFont="1" applyBorder="1" applyAlignment="1">
      <alignment horizontal="center" vertical="top"/>
    </xf>
    <xf numFmtId="0" fontId="3" fillId="0" borderId="0" xfId="0" applyFont="1"/>
    <xf numFmtId="0" fontId="6"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topLeftCell="A14" zoomScale="137" workbookViewId="0">
      <selection activeCell="B19" sqref="B19"/>
    </sheetView>
  </sheetViews>
  <sheetFormatPr baseColWidth="10" defaultColWidth="8.83203125" defaultRowHeight="17"/>
  <cols>
    <col min="1" max="1" width="26" customWidth="1"/>
    <col min="2" max="2" width="100" customWidth="1"/>
  </cols>
  <sheetData>
    <row r="1" spans="1:2" ht="21">
      <c r="A1" s="1" t="s">
        <v>440</v>
      </c>
    </row>
    <row r="2" spans="1:2" ht="30" customHeight="1">
      <c r="A2" s="2" t="s">
        <v>441</v>
      </c>
      <c r="B2" s="3" t="s">
        <v>442</v>
      </c>
    </row>
    <row r="3" spans="1:2" ht="30" customHeight="1">
      <c r="A3" s="2" t="s">
        <v>443</v>
      </c>
      <c r="B3" s="3" t="s">
        <v>444</v>
      </c>
    </row>
    <row r="4" spans="1:2" ht="30" customHeight="1">
      <c r="A4" s="2" t="s">
        <v>445</v>
      </c>
      <c r="B4" s="3" t="s">
        <v>446</v>
      </c>
    </row>
    <row r="5" spans="1:2">
      <c r="A5" s="2"/>
    </row>
    <row r="6" spans="1:2">
      <c r="A6" s="4" t="s">
        <v>447</v>
      </c>
    </row>
    <row r="7" spans="1:2" ht="45" customHeight="1">
      <c r="A7" s="2" t="s">
        <v>448</v>
      </c>
      <c r="B7" s="3" t="s">
        <v>449</v>
      </c>
    </row>
    <row r="8" spans="1:2" ht="45" customHeight="1">
      <c r="A8" s="2" t="s">
        <v>450</v>
      </c>
      <c r="B8" s="3" t="s">
        <v>451</v>
      </c>
    </row>
    <row r="9" spans="1:2" ht="30" customHeight="1">
      <c r="A9" s="2" t="s">
        <v>452</v>
      </c>
      <c r="B9" s="3" t="s">
        <v>453</v>
      </c>
    </row>
    <row r="10" spans="1:2">
      <c r="A10" s="2"/>
    </row>
    <row r="11" spans="1:2">
      <c r="A11" s="4" t="s">
        <v>454</v>
      </c>
    </row>
    <row r="12" spans="1:2" ht="45" customHeight="1">
      <c r="A12" s="2" t="s">
        <v>455</v>
      </c>
      <c r="B12" s="3" t="s">
        <v>456</v>
      </c>
    </row>
    <row r="13" spans="1:2" ht="15" customHeight="1">
      <c r="A13" s="2" t="s">
        <v>457</v>
      </c>
      <c r="B13" s="3" t="s">
        <v>458</v>
      </c>
    </row>
    <row r="14" spans="1:2" ht="45" customHeight="1">
      <c r="A14" s="2" t="s">
        <v>459</v>
      </c>
      <c r="B14" s="3" t="s">
        <v>460</v>
      </c>
    </row>
    <row r="15" spans="1:2">
      <c r="A15" s="2"/>
    </row>
    <row r="16" spans="1:2">
      <c r="A16" s="4" t="s">
        <v>461</v>
      </c>
    </row>
    <row r="17" spans="1:2" ht="15" customHeight="1">
      <c r="A17" s="2" t="s">
        <v>462</v>
      </c>
      <c r="B17" s="3" t="s">
        <v>463</v>
      </c>
    </row>
    <row r="18" spans="1:2" ht="30" customHeight="1">
      <c r="A18" s="2" t="s">
        <v>464</v>
      </c>
      <c r="B18" s="3" t="s">
        <v>465</v>
      </c>
    </row>
    <row r="19" spans="1:2" ht="15" customHeight="1">
      <c r="A19" s="2" t="s">
        <v>6</v>
      </c>
      <c r="B19" s="3" t="s">
        <v>466</v>
      </c>
    </row>
    <row r="20" spans="1:2">
      <c r="A20" s="2"/>
    </row>
    <row r="21" spans="1:2">
      <c r="A21" s="4" t="s">
        <v>467</v>
      </c>
    </row>
    <row r="22" spans="1:2" ht="30" customHeight="1">
      <c r="A22" s="2" t="s">
        <v>468</v>
      </c>
      <c r="B22" s="3" t="s">
        <v>469</v>
      </c>
    </row>
    <row r="23" spans="1:2" ht="15" customHeight="1">
      <c r="A23" s="2" t="s">
        <v>470</v>
      </c>
      <c r="B23" s="3" t="s">
        <v>471</v>
      </c>
    </row>
    <row r="24" spans="1:2" ht="15" customHeight="1">
      <c r="A24" s="2" t="s">
        <v>472</v>
      </c>
      <c r="B24" s="3" t="s">
        <v>473</v>
      </c>
    </row>
    <row r="25" spans="1:2">
      <c r="A25" s="2"/>
    </row>
    <row r="26" spans="1:2" ht="45" customHeight="1">
      <c r="A26" s="2" t="s">
        <v>474</v>
      </c>
      <c r="B26" s="3" t="s">
        <v>475</v>
      </c>
    </row>
    <row r="27" spans="1:2">
      <c r="A27" s="2"/>
    </row>
    <row r="28" spans="1:2">
      <c r="A28" s="4" t="s">
        <v>476</v>
      </c>
    </row>
    <row r="29" spans="1:2">
      <c r="A29" s="5" t="s">
        <v>477</v>
      </c>
      <c r="B29" s="6">
        <f>COUNTA(Label!A2:A221)</f>
        <v>220</v>
      </c>
    </row>
    <row r="30" spans="1:2">
      <c r="A30" s="5" t="s">
        <v>478</v>
      </c>
      <c r="B30" s="6">
        <f>COUNTA(Label!D2:D221)</f>
        <v>1</v>
      </c>
    </row>
    <row r="31" spans="1:2">
      <c r="A31" s="5" t="s">
        <v>479</v>
      </c>
      <c r="B31" s="6">
        <f>B29-B30</f>
        <v>219</v>
      </c>
    </row>
    <row r="32" spans="1:2">
      <c r="A32" s="5" t="s">
        <v>480</v>
      </c>
      <c r="B32" s="7">
        <f>IF(B29=0,0,B30/B29)</f>
        <v>4.5454545454545452E-3</v>
      </c>
    </row>
    <row r="33" spans="1:2">
      <c r="A33" s="5" t="s">
        <v>448</v>
      </c>
      <c r="B33" s="6">
        <f>COUNTIF(Label!D2:D221,"Hawkish")</f>
        <v>1</v>
      </c>
    </row>
    <row r="34" spans="1:2">
      <c r="A34" s="5" t="s">
        <v>452</v>
      </c>
      <c r="B34" s="6">
        <f>COUNTIF(Label!D2:D221,"Neutral")</f>
        <v>0</v>
      </c>
    </row>
    <row r="35" spans="1:2">
      <c r="A35" s="5" t="s">
        <v>450</v>
      </c>
      <c r="B35" s="6">
        <f>COUNTIF(Label!D2:D221,"Dovish")</f>
        <v>0</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1"/>
  <sheetViews>
    <sheetView tabSelected="1" zoomScale="116" workbookViewId="0">
      <pane xSplit="3" ySplit="1" topLeftCell="D104" activePane="bottomRight" state="frozen"/>
      <selection pane="topRight"/>
      <selection pane="bottomLeft"/>
      <selection pane="bottomRight" activeCell="D106" sqref="D106"/>
    </sheetView>
  </sheetViews>
  <sheetFormatPr baseColWidth="10" defaultColWidth="8.83203125" defaultRowHeight="17"/>
  <cols>
    <col min="1" max="1" width="8" customWidth="1"/>
    <col min="2" max="2" width="16" customWidth="1"/>
    <col min="3" max="3" width="95" customWidth="1"/>
    <col min="4" max="5" width="12" customWidth="1"/>
    <col min="6" max="6" width="13" customWidth="1"/>
    <col min="7" max="7" width="30" customWidth="1"/>
    <col min="8" max="8" width="8" customWidth="1"/>
  </cols>
  <sheetData>
    <row r="1" spans="1:8" ht="30" customHeight="1">
      <c r="A1" s="8" t="s">
        <v>0</v>
      </c>
      <c r="B1" s="8" t="s">
        <v>1</v>
      </c>
      <c r="C1" s="8" t="s">
        <v>2</v>
      </c>
      <c r="D1" s="8" t="s">
        <v>3</v>
      </c>
      <c r="E1" s="8" t="s">
        <v>4</v>
      </c>
      <c r="F1" s="8" t="s">
        <v>5</v>
      </c>
      <c r="G1" s="8" t="s">
        <v>6</v>
      </c>
      <c r="H1" s="8" t="s">
        <v>7</v>
      </c>
    </row>
    <row r="2" spans="1:8" ht="134" customHeight="1">
      <c r="A2" s="9" t="s">
        <v>8</v>
      </c>
      <c r="B2" s="9" t="s">
        <v>9</v>
      </c>
      <c r="C2" s="9" t="s">
        <v>10</v>
      </c>
      <c r="D2" s="10" t="s">
        <v>448</v>
      </c>
      <c r="E2" s="10"/>
      <c r="F2" s="10"/>
      <c r="G2" s="11"/>
      <c r="H2" s="12">
        <f t="shared" ref="H2:H65" si="0">IF(D2="Hawkish",1,IF(D2="Dovish",-1,IF(D2="Neutral",0,"")))</f>
        <v>1</v>
      </c>
    </row>
    <row r="3" spans="1:8" ht="147" customHeight="1">
      <c r="A3" s="9" t="s">
        <v>11</v>
      </c>
      <c r="B3" s="9" t="s">
        <v>12</v>
      </c>
      <c r="C3" s="9" t="s">
        <v>13</v>
      </c>
      <c r="D3" s="10"/>
      <c r="E3" s="10"/>
      <c r="F3" s="10"/>
      <c r="G3" s="11"/>
      <c r="H3" s="12" t="str">
        <f t="shared" si="0"/>
        <v/>
      </c>
    </row>
    <row r="4" spans="1:8" ht="147" customHeight="1">
      <c r="A4" s="9" t="s">
        <v>14</v>
      </c>
      <c r="B4" s="9" t="s">
        <v>15</v>
      </c>
      <c r="C4" s="9" t="s">
        <v>16</v>
      </c>
      <c r="D4" s="10"/>
      <c r="E4" s="10"/>
      <c r="F4" s="10"/>
      <c r="G4" s="11"/>
      <c r="H4" s="12" t="str">
        <f t="shared" si="0"/>
        <v/>
      </c>
    </row>
    <row r="5" spans="1:8" ht="355" customHeight="1">
      <c r="A5" s="9" t="s">
        <v>17</v>
      </c>
      <c r="B5" s="9" t="s">
        <v>9</v>
      </c>
      <c r="C5" s="9" t="s">
        <v>18</v>
      </c>
      <c r="D5" s="10"/>
      <c r="E5" s="10"/>
      <c r="F5" s="10"/>
      <c r="G5" s="11"/>
      <c r="H5" s="12" t="str">
        <f t="shared" si="0"/>
        <v/>
      </c>
    </row>
    <row r="6" spans="1:8" ht="121" customHeight="1">
      <c r="A6" s="9" t="s">
        <v>19</v>
      </c>
      <c r="B6" s="9" t="s">
        <v>20</v>
      </c>
      <c r="C6" s="9" t="s">
        <v>21</v>
      </c>
      <c r="D6" s="10"/>
      <c r="E6" s="10"/>
      <c r="F6" s="10"/>
      <c r="G6" s="11"/>
      <c r="H6" s="12" t="str">
        <f t="shared" si="0"/>
        <v/>
      </c>
    </row>
    <row r="7" spans="1:8" ht="160" customHeight="1">
      <c r="A7" s="9" t="s">
        <v>22</v>
      </c>
      <c r="B7" s="9" t="s">
        <v>23</v>
      </c>
      <c r="C7" s="9" t="s">
        <v>24</v>
      </c>
      <c r="D7" s="10"/>
      <c r="E7" s="10"/>
      <c r="F7" s="10"/>
      <c r="G7" s="11"/>
      <c r="H7" s="12" t="str">
        <f t="shared" si="0"/>
        <v/>
      </c>
    </row>
    <row r="8" spans="1:8" ht="173" customHeight="1">
      <c r="A8" s="9" t="s">
        <v>25</v>
      </c>
      <c r="B8" s="9" t="s">
        <v>20</v>
      </c>
      <c r="C8" s="9" t="s">
        <v>26</v>
      </c>
      <c r="D8" s="10"/>
      <c r="E8" s="10"/>
      <c r="F8" s="10"/>
      <c r="G8" s="11"/>
      <c r="H8" s="12" t="str">
        <f t="shared" si="0"/>
        <v/>
      </c>
    </row>
    <row r="9" spans="1:8" ht="400" customHeight="1">
      <c r="A9" s="9" t="s">
        <v>27</v>
      </c>
      <c r="B9" s="9" t="s">
        <v>23</v>
      </c>
      <c r="C9" s="9" t="s">
        <v>28</v>
      </c>
      <c r="D9" s="10"/>
      <c r="E9" s="10"/>
      <c r="F9" s="10"/>
      <c r="G9" s="11"/>
      <c r="H9" s="12" t="str">
        <f t="shared" si="0"/>
        <v/>
      </c>
    </row>
    <row r="10" spans="1:8" ht="186" customHeight="1">
      <c r="A10" s="9" t="s">
        <v>29</v>
      </c>
      <c r="B10" s="9" t="s">
        <v>23</v>
      </c>
      <c r="C10" s="9" t="s">
        <v>30</v>
      </c>
      <c r="D10" s="10"/>
      <c r="E10" s="10"/>
      <c r="F10" s="10"/>
      <c r="G10" s="11"/>
      <c r="H10" s="12" t="str">
        <f t="shared" si="0"/>
        <v/>
      </c>
    </row>
    <row r="11" spans="1:8" ht="56" customHeight="1">
      <c r="A11" s="9" t="s">
        <v>31</v>
      </c>
      <c r="B11" s="9" t="s">
        <v>32</v>
      </c>
      <c r="C11" s="9" t="s">
        <v>33</v>
      </c>
      <c r="D11" s="10"/>
      <c r="E11" s="10"/>
      <c r="F11" s="10"/>
      <c r="G11" s="11"/>
      <c r="H11" s="12" t="str">
        <f t="shared" si="0"/>
        <v/>
      </c>
    </row>
    <row r="12" spans="1:8" ht="147" customHeight="1">
      <c r="A12" s="9" t="s">
        <v>34</v>
      </c>
      <c r="B12" s="9" t="s">
        <v>23</v>
      </c>
      <c r="C12" s="9" t="s">
        <v>35</v>
      </c>
      <c r="D12" s="10"/>
      <c r="E12" s="10"/>
      <c r="F12" s="10"/>
      <c r="G12" s="11"/>
      <c r="H12" s="12" t="str">
        <f t="shared" si="0"/>
        <v/>
      </c>
    </row>
    <row r="13" spans="1:8" ht="95" customHeight="1">
      <c r="A13" s="9" t="s">
        <v>36</v>
      </c>
      <c r="B13" s="9" t="s">
        <v>37</v>
      </c>
      <c r="C13" s="9" t="s">
        <v>38</v>
      </c>
      <c r="D13" s="10"/>
      <c r="E13" s="10"/>
      <c r="F13" s="10"/>
      <c r="G13" s="11"/>
      <c r="H13" s="12" t="str">
        <f t="shared" si="0"/>
        <v/>
      </c>
    </row>
    <row r="14" spans="1:8" ht="199" customHeight="1">
      <c r="A14" s="9" t="s">
        <v>39</v>
      </c>
      <c r="B14" s="9" t="s">
        <v>37</v>
      </c>
      <c r="C14" s="9" t="s">
        <v>40</v>
      </c>
      <c r="D14" s="10"/>
      <c r="E14" s="10"/>
      <c r="F14" s="10"/>
      <c r="G14" s="11"/>
      <c r="H14" s="12" t="str">
        <f t="shared" si="0"/>
        <v/>
      </c>
    </row>
    <row r="15" spans="1:8" ht="147" customHeight="1">
      <c r="A15" s="9" t="s">
        <v>41</v>
      </c>
      <c r="B15" s="9" t="s">
        <v>20</v>
      </c>
      <c r="C15" s="9" t="s">
        <v>42</v>
      </c>
      <c r="D15" s="10"/>
      <c r="E15" s="10"/>
      <c r="F15" s="10"/>
      <c r="G15" s="11"/>
      <c r="H15" s="12" t="str">
        <f t="shared" si="0"/>
        <v/>
      </c>
    </row>
    <row r="16" spans="1:8" ht="108" customHeight="1">
      <c r="A16" s="9" t="s">
        <v>43</v>
      </c>
      <c r="B16" s="9" t="s">
        <v>23</v>
      </c>
      <c r="C16" s="9" t="s">
        <v>44</v>
      </c>
      <c r="D16" s="10"/>
      <c r="E16" s="10"/>
      <c r="F16" s="10"/>
      <c r="G16" s="11"/>
      <c r="H16" s="12" t="str">
        <f t="shared" si="0"/>
        <v/>
      </c>
    </row>
    <row r="17" spans="1:8" ht="264" customHeight="1">
      <c r="A17" s="9" t="s">
        <v>45</v>
      </c>
      <c r="B17" s="9" t="s">
        <v>46</v>
      </c>
      <c r="C17" s="9" t="s">
        <v>47</v>
      </c>
      <c r="D17" s="10"/>
      <c r="E17" s="10"/>
      <c r="F17" s="10"/>
      <c r="G17" s="11"/>
      <c r="H17" s="12" t="str">
        <f t="shared" si="0"/>
        <v/>
      </c>
    </row>
    <row r="18" spans="1:8" ht="69" customHeight="1">
      <c r="A18" s="9" t="s">
        <v>48</v>
      </c>
      <c r="B18" s="9" t="s">
        <v>20</v>
      </c>
      <c r="C18" s="9" t="s">
        <v>49</v>
      </c>
      <c r="D18" s="10"/>
      <c r="E18" s="10"/>
      <c r="F18" s="10"/>
      <c r="G18" s="11"/>
      <c r="H18" s="12" t="str">
        <f t="shared" si="0"/>
        <v/>
      </c>
    </row>
    <row r="19" spans="1:8" ht="147" customHeight="1">
      <c r="A19" s="9" t="s">
        <v>50</v>
      </c>
      <c r="B19" s="9" t="s">
        <v>51</v>
      </c>
      <c r="C19" s="9" t="s">
        <v>52</v>
      </c>
      <c r="D19" s="10"/>
      <c r="E19" s="10"/>
      <c r="F19" s="10"/>
      <c r="G19" s="11"/>
      <c r="H19" s="12" t="str">
        <f t="shared" si="0"/>
        <v/>
      </c>
    </row>
    <row r="20" spans="1:8" ht="134" customHeight="1">
      <c r="A20" s="9" t="s">
        <v>53</v>
      </c>
      <c r="B20" s="9" t="s">
        <v>20</v>
      </c>
      <c r="C20" s="9" t="s">
        <v>54</v>
      </c>
      <c r="D20" s="10"/>
      <c r="E20" s="10"/>
      <c r="F20" s="10"/>
      <c r="G20" s="11"/>
      <c r="H20" s="12" t="str">
        <f t="shared" si="0"/>
        <v/>
      </c>
    </row>
    <row r="21" spans="1:8" ht="160" customHeight="1">
      <c r="A21" s="9" t="s">
        <v>55</v>
      </c>
      <c r="B21" s="9" t="s">
        <v>12</v>
      </c>
      <c r="C21" s="9" t="s">
        <v>56</v>
      </c>
      <c r="D21" s="10"/>
      <c r="E21" s="10"/>
      <c r="F21" s="10"/>
      <c r="G21" s="11"/>
      <c r="H21" s="12" t="str">
        <f t="shared" si="0"/>
        <v/>
      </c>
    </row>
    <row r="22" spans="1:8" ht="212" customHeight="1">
      <c r="A22" s="9" t="s">
        <v>57</v>
      </c>
      <c r="B22" s="9" t="s">
        <v>58</v>
      </c>
      <c r="C22" s="9" t="s">
        <v>59</v>
      </c>
      <c r="D22" s="10"/>
      <c r="E22" s="10"/>
      <c r="F22" s="10"/>
      <c r="G22" s="11"/>
      <c r="H22" s="12" t="str">
        <f t="shared" si="0"/>
        <v/>
      </c>
    </row>
    <row r="23" spans="1:8" ht="160" customHeight="1">
      <c r="A23" s="9" t="s">
        <v>60</v>
      </c>
      <c r="B23" s="9" t="s">
        <v>20</v>
      </c>
      <c r="C23" s="9" t="s">
        <v>61</v>
      </c>
      <c r="D23" s="10"/>
      <c r="E23" s="10"/>
      <c r="F23" s="10"/>
      <c r="G23" s="11"/>
      <c r="H23" s="12" t="str">
        <f t="shared" si="0"/>
        <v/>
      </c>
    </row>
    <row r="24" spans="1:8" ht="173" customHeight="1">
      <c r="A24" s="9" t="s">
        <v>62</v>
      </c>
      <c r="B24" s="9" t="s">
        <v>37</v>
      </c>
      <c r="C24" s="9" t="s">
        <v>63</v>
      </c>
      <c r="D24" s="10"/>
      <c r="E24" s="10"/>
      <c r="F24" s="10"/>
      <c r="G24" s="11"/>
      <c r="H24" s="12" t="str">
        <f t="shared" si="0"/>
        <v/>
      </c>
    </row>
    <row r="25" spans="1:8" ht="160" customHeight="1">
      <c r="A25" s="9" t="s">
        <v>64</v>
      </c>
      <c r="B25" s="9" t="s">
        <v>20</v>
      </c>
      <c r="C25" s="9" t="s">
        <v>65</v>
      </c>
      <c r="D25" s="10"/>
      <c r="E25" s="10"/>
      <c r="F25" s="10"/>
      <c r="G25" s="11"/>
      <c r="H25" s="12" t="str">
        <f t="shared" si="0"/>
        <v/>
      </c>
    </row>
    <row r="26" spans="1:8" ht="186" customHeight="1">
      <c r="A26" s="9" t="s">
        <v>66</v>
      </c>
      <c r="B26" s="9" t="s">
        <v>58</v>
      </c>
      <c r="C26" s="9" t="s">
        <v>67</v>
      </c>
      <c r="D26" s="10"/>
      <c r="E26" s="10"/>
      <c r="F26" s="10"/>
      <c r="G26" s="11"/>
      <c r="H26" s="12" t="str">
        <f t="shared" si="0"/>
        <v/>
      </c>
    </row>
    <row r="27" spans="1:8" ht="186" customHeight="1">
      <c r="A27" s="9" t="s">
        <v>68</v>
      </c>
      <c r="B27" s="9" t="s">
        <v>15</v>
      </c>
      <c r="C27" s="9" t="s">
        <v>69</v>
      </c>
      <c r="D27" s="10"/>
      <c r="E27" s="10"/>
      <c r="F27" s="10"/>
      <c r="G27" s="11"/>
      <c r="H27" s="12" t="str">
        <f t="shared" si="0"/>
        <v/>
      </c>
    </row>
    <row r="28" spans="1:8" ht="134" customHeight="1">
      <c r="A28" s="9" t="s">
        <v>70</v>
      </c>
      <c r="B28" s="9" t="s">
        <v>20</v>
      </c>
      <c r="C28" s="9" t="s">
        <v>71</v>
      </c>
      <c r="D28" s="10"/>
      <c r="E28" s="10"/>
      <c r="F28" s="10"/>
      <c r="G28" s="11"/>
      <c r="H28" s="12" t="str">
        <f t="shared" si="0"/>
        <v/>
      </c>
    </row>
    <row r="29" spans="1:8" ht="303" customHeight="1">
      <c r="A29" s="9" t="s">
        <v>72</v>
      </c>
      <c r="B29" s="9" t="s">
        <v>32</v>
      </c>
      <c r="C29" s="9" t="s">
        <v>73</v>
      </c>
      <c r="D29" s="10"/>
      <c r="E29" s="10"/>
      <c r="F29" s="10"/>
      <c r="G29" s="11"/>
      <c r="H29" s="12" t="str">
        <f t="shared" si="0"/>
        <v/>
      </c>
    </row>
    <row r="30" spans="1:8" ht="173" customHeight="1">
      <c r="A30" s="9" t="s">
        <v>74</v>
      </c>
      <c r="B30" s="9" t="s">
        <v>51</v>
      </c>
      <c r="C30" s="9" t="s">
        <v>75</v>
      </c>
      <c r="D30" s="10"/>
      <c r="E30" s="10"/>
      <c r="F30" s="10"/>
      <c r="G30" s="11"/>
      <c r="H30" s="12" t="str">
        <f t="shared" si="0"/>
        <v/>
      </c>
    </row>
    <row r="31" spans="1:8" ht="121" customHeight="1">
      <c r="A31" s="9" t="s">
        <v>76</v>
      </c>
      <c r="B31" s="9" t="s">
        <v>15</v>
      </c>
      <c r="C31" s="9" t="s">
        <v>77</v>
      </c>
      <c r="D31" s="10"/>
      <c r="E31" s="10"/>
      <c r="F31" s="10"/>
      <c r="G31" s="11"/>
      <c r="H31" s="12" t="str">
        <f t="shared" si="0"/>
        <v/>
      </c>
    </row>
    <row r="32" spans="1:8" ht="147" customHeight="1">
      <c r="A32" s="9" t="s">
        <v>78</v>
      </c>
      <c r="B32" s="9" t="s">
        <v>23</v>
      </c>
      <c r="C32" s="9" t="s">
        <v>79</v>
      </c>
      <c r="D32" s="10"/>
      <c r="E32" s="10"/>
      <c r="F32" s="10"/>
      <c r="G32" s="11"/>
      <c r="H32" s="12" t="str">
        <f t="shared" si="0"/>
        <v/>
      </c>
    </row>
    <row r="33" spans="1:8" ht="173" customHeight="1">
      <c r="A33" s="9" t="s">
        <v>80</v>
      </c>
      <c r="B33" s="9" t="s">
        <v>12</v>
      </c>
      <c r="C33" s="9" t="s">
        <v>81</v>
      </c>
      <c r="D33" s="10"/>
      <c r="E33" s="10"/>
      <c r="F33" s="10"/>
      <c r="G33" s="11"/>
      <c r="H33" s="12" t="str">
        <f t="shared" si="0"/>
        <v/>
      </c>
    </row>
    <row r="34" spans="1:8" ht="69" customHeight="1">
      <c r="A34" s="9" t="s">
        <v>82</v>
      </c>
      <c r="B34" s="9" t="s">
        <v>58</v>
      </c>
      <c r="C34" s="9" t="s">
        <v>83</v>
      </c>
      <c r="D34" s="10"/>
      <c r="E34" s="10"/>
      <c r="F34" s="10"/>
      <c r="G34" s="11"/>
      <c r="H34" s="12" t="str">
        <f t="shared" si="0"/>
        <v/>
      </c>
    </row>
    <row r="35" spans="1:8" ht="173" customHeight="1">
      <c r="A35" s="9" t="s">
        <v>84</v>
      </c>
      <c r="B35" s="9" t="s">
        <v>12</v>
      </c>
      <c r="C35" s="9" t="s">
        <v>85</v>
      </c>
      <c r="D35" s="10"/>
      <c r="E35" s="10"/>
      <c r="F35" s="10"/>
      <c r="G35" s="11"/>
      <c r="H35" s="12" t="str">
        <f t="shared" si="0"/>
        <v/>
      </c>
    </row>
    <row r="36" spans="1:8" ht="186" customHeight="1">
      <c r="A36" s="9" t="s">
        <v>86</v>
      </c>
      <c r="B36" s="9" t="s">
        <v>37</v>
      </c>
      <c r="C36" s="9" t="s">
        <v>87</v>
      </c>
      <c r="D36" s="10"/>
      <c r="E36" s="10"/>
      <c r="F36" s="10"/>
      <c r="G36" s="11"/>
      <c r="H36" s="12" t="str">
        <f t="shared" si="0"/>
        <v/>
      </c>
    </row>
    <row r="37" spans="1:8" ht="95" customHeight="1">
      <c r="A37" s="9" t="s">
        <v>88</v>
      </c>
      <c r="B37" s="9" t="s">
        <v>12</v>
      </c>
      <c r="C37" s="9" t="s">
        <v>89</v>
      </c>
      <c r="D37" s="10"/>
      <c r="E37" s="10"/>
      <c r="F37" s="10"/>
      <c r="G37" s="11"/>
      <c r="H37" s="12" t="str">
        <f t="shared" si="0"/>
        <v/>
      </c>
    </row>
    <row r="38" spans="1:8" ht="95" customHeight="1">
      <c r="A38" s="9" t="s">
        <v>90</v>
      </c>
      <c r="B38" s="9" t="s">
        <v>51</v>
      </c>
      <c r="C38" s="9" t="s">
        <v>91</v>
      </c>
      <c r="D38" s="10"/>
      <c r="E38" s="10"/>
      <c r="F38" s="10"/>
      <c r="G38" s="11"/>
      <c r="H38" s="12" t="str">
        <f t="shared" si="0"/>
        <v/>
      </c>
    </row>
    <row r="39" spans="1:8" ht="173" customHeight="1">
      <c r="A39" s="9" t="s">
        <v>92</v>
      </c>
      <c r="B39" s="9" t="s">
        <v>58</v>
      </c>
      <c r="C39" s="9" t="s">
        <v>93</v>
      </c>
      <c r="D39" s="10"/>
      <c r="E39" s="10"/>
      <c r="F39" s="10"/>
      <c r="G39" s="11"/>
      <c r="H39" s="12" t="str">
        <f t="shared" si="0"/>
        <v/>
      </c>
    </row>
    <row r="40" spans="1:8" ht="173" customHeight="1">
      <c r="A40" s="9" t="s">
        <v>94</v>
      </c>
      <c r="B40" s="9" t="s">
        <v>15</v>
      </c>
      <c r="C40" s="9" t="s">
        <v>95</v>
      </c>
      <c r="D40" s="10"/>
      <c r="E40" s="10"/>
      <c r="F40" s="10"/>
      <c r="G40" s="11"/>
      <c r="H40" s="12" t="str">
        <f t="shared" si="0"/>
        <v/>
      </c>
    </row>
    <row r="41" spans="1:8" ht="225" customHeight="1">
      <c r="A41" s="9" t="s">
        <v>96</v>
      </c>
      <c r="B41" s="9" t="s">
        <v>9</v>
      </c>
      <c r="C41" s="9" t="s">
        <v>97</v>
      </c>
      <c r="D41" s="10"/>
      <c r="E41" s="10"/>
      <c r="F41" s="10"/>
      <c r="G41" s="11"/>
      <c r="H41" s="12" t="str">
        <f t="shared" si="0"/>
        <v/>
      </c>
    </row>
    <row r="42" spans="1:8" ht="121" customHeight="1">
      <c r="A42" s="9" t="s">
        <v>98</v>
      </c>
      <c r="B42" s="9" t="s">
        <v>20</v>
      </c>
      <c r="C42" s="9" t="s">
        <v>99</v>
      </c>
      <c r="D42" s="10"/>
      <c r="E42" s="10"/>
      <c r="F42" s="10"/>
      <c r="G42" s="11"/>
      <c r="H42" s="12" t="str">
        <f t="shared" si="0"/>
        <v/>
      </c>
    </row>
    <row r="43" spans="1:8" ht="121" customHeight="1">
      <c r="A43" s="9" t="s">
        <v>100</v>
      </c>
      <c r="B43" s="9" t="s">
        <v>32</v>
      </c>
      <c r="C43" s="9" t="s">
        <v>101</v>
      </c>
      <c r="D43" s="10"/>
      <c r="E43" s="10"/>
      <c r="F43" s="10"/>
      <c r="G43" s="11"/>
      <c r="H43" s="12" t="str">
        <f t="shared" si="0"/>
        <v/>
      </c>
    </row>
    <row r="44" spans="1:8" ht="173" customHeight="1">
      <c r="A44" s="9" t="s">
        <v>102</v>
      </c>
      <c r="B44" s="9" t="s">
        <v>12</v>
      </c>
      <c r="C44" s="9" t="s">
        <v>103</v>
      </c>
      <c r="D44" s="10"/>
      <c r="E44" s="10"/>
      <c r="F44" s="10"/>
      <c r="G44" s="11"/>
      <c r="H44" s="12" t="str">
        <f t="shared" si="0"/>
        <v/>
      </c>
    </row>
    <row r="45" spans="1:8" ht="121" customHeight="1">
      <c r="A45" s="9" t="s">
        <v>104</v>
      </c>
      <c r="B45" s="9" t="s">
        <v>51</v>
      </c>
      <c r="C45" s="9" t="s">
        <v>105</v>
      </c>
      <c r="D45" s="10"/>
      <c r="E45" s="10"/>
      <c r="F45" s="10"/>
      <c r="G45" s="11"/>
      <c r="H45" s="12" t="str">
        <f t="shared" si="0"/>
        <v/>
      </c>
    </row>
    <row r="46" spans="1:8" ht="173" customHeight="1">
      <c r="A46" s="9" t="s">
        <v>106</v>
      </c>
      <c r="B46" s="9" t="s">
        <v>20</v>
      </c>
      <c r="C46" s="9" t="s">
        <v>107</v>
      </c>
      <c r="D46" s="10"/>
      <c r="E46" s="10"/>
      <c r="F46" s="10"/>
      <c r="G46" s="11"/>
      <c r="H46" s="12" t="str">
        <f t="shared" si="0"/>
        <v/>
      </c>
    </row>
    <row r="47" spans="1:8" ht="199" customHeight="1">
      <c r="A47" s="9" t="s">
        <v>108</v>
      </c>
      <c r="B47" s="9" t="s">
        <v>15</v>
      </c>
      <c r="C47" s="9" t="s">
        <v>109</v>
      </c>
      <c r="D47" s="10"/>
      <c r="E47" s="10"/>
      <c r="F47" s="10"/>
      <c r="G47" s="11"/>
      <c r="H47" s="12" t="str">
        <f t="shared" si="0"/>
        <v/>
      </c>
    </row>
    <row r="48" spans="1:8" ht="160" customHeight="1">
      <c r="A48" s="9" t="s">
        <v>110</v>
      </c>
      <c r="B48" s="9" t="s">
        <v>23</v>
      </c>
      <c r="C48" s="9" t="s">
        <v>111</v>
      </c>
      <c r="D48" s="10"/>
      <c r="E48" s="10"/>
      <c r="F48" s="10"/>
      <c r="G48" s="11"/>
      <c r="H48" s="12" t="str">
        <f t="shared" si="0"/>
        <v/>
      </c>
    </row>
    <row r="49" spans="1:8" ht="147" customHeight="1">
      <c r="A49" s="9" t="s">
        <v>112</v>
      </c>
      <c r="B49" s="9" t="s">
        <v>20</v>
      </c>
      <c r="C49" s="9" t="s">
        <v>113</v>
      </c>
      <c r="D49" s="10"/>
      <c r="E49" s="10"/>
      <c r="F49" s="10"/>
      <c r="G49" s="11"/>
      <c r="H49" s="12" t="str">
        <f t="shared" si="0"/>
        <v/>
      </c>
    </row>
    <row r="50" spans="1:8" ht="173" customHeight="1">
      <c r="A50" s="9" t="s">
        <v>114</v>
      </c>
      <c r="B50" s="9" t="s">
        <v>23</v>
      </c>
      <c r="C50" s="9" t="s">
        <v>115</v>
      </c>
      <c r="D50" s="10"/>
      <c r="E50" s="10"/>
      <c r="F50" s="10"/>
      <c r="G50" s="11"/>
      <c r="H50" s="12" t="str">
        <f t="shared" si="0"/>
        <v/>
      </c>
    </row>
    <row r="51" spans="1:8" ht="186" customHeight="1">
      <c r="A51" s="9" t="s">
        <v>116</v>
      </c>
      <c r="B51" s="9" t="s">
        <v>9</v>
      </c>
      <c r="C51" s="9" t="s">
        <v>117</v>
      </c>
      <c r="D51" s="10"/>
      <c r="E51" s="10"/>
      <c r="F51" s="10"/>
      <c r="G51" s="11"/>
      <c r="H51" s="12" t="str">
        <f t="shared" si="0"/>
        <v/>
      </c>
    </row>
    <row r="52" spans="1:8" ht="186" customHeight="1">
      <c r="A52" s="9" t="s">
        <v>118</v>
      </c>
      <c r="B52" s="9" t="s">
        <v>32</v>
      </c>
      <c r="C52" s="9" t="s">
        <v>119</v>
      </c>
      <c r="D52" s="10"/>
      <c r="E52" s="10"/>
      <c r="F52" s="10"/>
      <c r="G52" s="11"/>
      <c r="H52" s="12" t="str">
        <f t="shared" si="0"/>
        <v/>
      </c>
    </row>
    <row r="53" spans="1:8" ht="121" customHeight="1">
      <c r="A53" s="9" t="s">
        <v>120</v>
      </c>
      <c r="B53" s="9" t="s">
        <v>15</v>
      </c>
      <c r="C53" s="9" t="s">
        <v>121</v>
      </c>
      <c r="D53" s="10"/>
      <c r="E53" s="10"/>
      <c r="F53" s="10"/>
      <c r="G53" s="11"/>
      <c r="H53" s="12" t="str">
        <f t="shared" si="0"/>
        <v/>
      </c>
    </row>
    <row r="54" spans="1:8" ht="173" customHeight="1">
      <c r="A54" s="9" t="s">
        <v>122</v>
      </c>
      <c r="B54" s="9" t="s">
        <v>46</v>
      </c>
      <c r="C54" s="9" t="s">
        <v>123</v>
      </c>
      <c r="D54" s="10"/>
      <c r="E54" s="10"/>
      <c r="F54" s="10"/>
      <c r="G54" s="11"/>
      <c r="H54" s="12" t="str">
        <f t="shared" si="0"/>
        <v/>
      </c>
    </row>
    <row r="55" spans="1:8" ht="160" customHeight="1">
      <c r="A55" s="9" t="s">
        <v>124</v>
      </c>
      <c r="B55" s="9" t="s">
        <v>37</v>
      </c>
      <c r="C55" s="9" t="s">
        <v>125</v>
      </c>
      <c r="D55" s="10"/>
      <c r="E55" s="10"/>
      <c r="F55" s="10"/>
      <c r="G55" s="11"/>
      <c r="H55" s="12" t="str">
        <f t="shared" si="0"/>
        <v/>
      </c>
    </row>
    <row r="56" spans="1:8" ht="95" customHeight="1">
      <c r="A56" s="9" t="s">
        <v>126</v>
      </c>
      <c r="B56" s="9" t="s">
        <v>32</v>
      </c>
      <c r="C56" s="9" t="s">
        <v>127</v>
      </c>
      <c r="D56" s="10"/>
      <c r="E56" s="10"/>
      <c r="F56" s="10"/>
      <c r="G56" s="11"/>
      <c r="H56" s="12" t="str">
        <f t="shared" si="0"/>
        <v/>
      </c>
    </row>
    <row r="57" spans="1:8" ht="147" customHeight="1">
      <c r="A57" s="9" t="s">
        <v>128</v>
      </c>
      <c r="B57" s="9" t="s">
        <v>15</v>
      </c>
      <c r="C57" s="9" t="s">
        <v>129</v>
      </c>
      <c r="D57" s="10"/>
      <c r="E57" s="10"/>
      <c r="F57" s="10"/>
      <c r="G57" s="11"/>
      <c r="H57" s="12" t="str">
        <f t="shared" si="0"/>
        <v/>
      </c>
    </row>
    <row r="58" spans="1:8" ht="108" customHeight="1">
      <c r="A58" s="9" t="s">
        <v>130</v>
      </c>
      <c r="B58" s="9" t="s">
        <v>23</v>
      </c>
      <c r="C58" s="9" t="s">
        <v>131</v>
      </c>
      <c r="D58" s="10"/>
      <c r="E58" s="10"/>
      <c r="F58" s="10"/>
      <c r="G58" s="11"/>
      <c r="H58" s="12" t="str">
        <f t="shared" si="0"/>
        <v/>
      </c>
    </row>
    <row r="59" spans="1:8" ht="108" customHeight="1">
      <c r="A59" s="9" t="s">
        <v>132</v>
      </c>
      <c r="B59" s="9" t="s">
        <v>23</v>
      </c>
      <c r="C59" s="9" t="s">
        <v>133</v>
      </c>
      <c r="D59" s="10"/>
      <c r="E59" s="10"/>
      <c r="F59" s="10"/>
      <c r="G59" s="11"/>
      <c r="H59" s="12" t="str">
        <f t="shared" si="0"/>
        <v/>
      </c>
    </row>
    <row r="60" spans="1:8" ht="173" customHeight="1">
      <c r="A60" s="9" t="s">
        <v>134</v>
      </c>
      <c r="B60" s="9" t="s">
        <v>46</v>
      </c>
      <c r="C60" s="9" t="s">
        <v>135</v>
      </c>
      <c r="D60" s="10"/>
      <c r="E60" s="10"/>
      <c r="F60" s="10"/>
      <c r="G60" s="11"/>
      <c r="H60" s="12" t="str">
        <f t="shared" si="0"/>
        <v/>
      </c>
    </row>
    <row r="61" spans="1:8" ht="199" customHeight="1">
      <c r="A61" s="9" t="s">
        <v>136</v>
      </c>
      <c r="B61" s="9" t="s">
        <v>58</v>
      </c>
      <c r="C61" s="9" t="s">
        <v>137</v>
      </c>
      <c r="D61" s="10"/>
      <c r="E61" s="10"/>
      <c r="F61" s="10"/>
      <c r="G61" s="11"/>
      <c r="H61" s="12" t="str">
        <f t="shared" si="0"/>
        <v/>
      </c>
    </row>
    <row r="62" spans="1:8" ht="186" customHeight="1">
      <c r="A62" s="9" t="s">
        <v>138</v>
      </c>
      <c r="B62" s="9" t="s">
        <v>15</v>
      </c>
      <c r="C62" s="9" t="s">
        <v>139</v>
      </c>
      <c r="D62" s="10"/>
      <c r="E62" s="10"/>
      <c r="F62" s="10"/>
      <c r="G62" s="11"/>
      <c r="H62" s="12" t="str">
        <f t="shared" si="0"/>
        <v/>
      </c>
    </row>
    <row r="63" spans="1:8" ht="108" customHeight="1">
      <c r="A63" s="9" t="s">
        <v>140</v>
      </c>
      <c r="B63" s="9" t="s">
        <v>15</v>
      </c>
      <c r="C63" s="9" t="s">
        <v>141</v>
      </c>
      <c r="D63" s="10"/>
      <c r="E63" s="10"/>
      <c r="F63" s="10"/>
      <c r="G63" s="11"/>
      <c r="H63" s="12" t="str">
        <f t="shared" si="0"/>
        <v/>
      </c>
    </row>
    <row r="64" spans="1:8" ht="121" customHeight="1">
      <c r="A64" s="9" t="s">
        <v>142</v>
      </c>
      <c r="B64" s="9" t="s">
        <v>32</v>
      </c>
      <c r="C64" s="9" t="s">
        <v>143</v>
      </c>
      <c r="D64" s="10"/>
      <c r="E64" s="10"/>
      <c r="F64" s="10"/>
      <c r="G64" s="11"/>
      <c r="H64" s="12" t="str">
        <f t="shared" si="0"/>
        <v/>
      </c>
    </row>
    <row r="65" spans="1:8" ht="342" customHeight="1">
      <c r="A65" s="9" t="s">
        <v>144</v>
      </c>
      <c r="B65" s="9" t="s">
        <v>15</v>
      </c>
      <c r="C65" s="9" t="s">
        <v>145</v>
      </c>
      <c r="D65" s="10"/>
      <c r="E65" s="10"/>
      <c r="F65" s="10"/>
      <c r="G65" s="11"/>
      <c r="H65" s="12" t="str">
        <f t="shared" si="0"/>
        <v/>
      </c>
    </row>
    <row r="66" spans="1:8" ht="82" customHeight="1">
      <c r="A66" s="9" t="s">
        <v>146</v>
      </c>
      <c r="B66" s="9" t="s">
        <v>23</v>
      </c>
      <c r="C66" s="9" t="s">
        <v>147</v>
      </c>
      <c r="D66" s="10"/>
      <c r="E66" s="10"/>
      <c r="F66" s="10"/>
      <c r="G66" s="11"/>
      <c r="H66" s="12" t="str">
        <f t="shared" ref="H66:H129" si="1">IF(D66="Hawkish",1,IF(D66="Dovish",-1,IF(D66="Neutral",0,"")))</f>
        <v/>
      </c>
    </row>
    <row r="67" spans="1:8" ht="238" customHeight="1">
      <c r="A67" s="9" t="s">
        <v>148</v>
      </c>
      <c r="B67" s="9" t="s">
        <v>32</v>
      </c>
      <c r="C67" s="9" t="s">
        <v>149</v>
      </c>
      <c r="D67" s="10"/>
      <c r="E67" s="10"/>
      <c r="F67" s="10"/>
      <c r="G67" s="11"/>
      <c r="H67" s="12" t="str">
        <f t="shared" si="1"/>
        <v/>
      </c>
    </row>
    <row r="68" spans="1:8" ht="160" customHeight="1">
      <c r="A68" s="9" t="s">
        <v>150</v>
      </c>
      <c r="B68" s="9" t="s">
        <v>23</v>
      </c>
      <c r="C68" s="9" t="s">
        <v>151</v>
      </c>
      <c r="D68" s="10"/>
      <c r="E68" s="10"/>
      <c r="F68" s="10"/>
      <c r="G68" s="11"/>
      <c r="H68" s="12" t="str">
        <f t="shared" si="1"/>
        <v/>
      </c>
    </row>
    <row r="69" spans="1:8" ht="199" customHeight="1">
      <c r="A69" s="9" t="s">
        <v>152</v>
      </c>
      <c r="B69" s="9" t="s">
        <v>15</v>
      </c>
      <c r="C69" s="9" t="s">
        <v>153</v>
      </c>
      <c r="D69" s="10"/>
      <c r="E69" s="10"/>
      <c r="F69" s="10"/>
      <c r="G69" s="11"/>
      <c r="H69" s="12" t="str">
        <f t="shared" si="1"/>
        <v/>
      </c>
    </row>
    <row r="70" spans="1:8" ht="186" customHeight="1">
      <c r="A70" s="9" t="s">
        <v>154</v>
      </c>
      <c r="B70" s="9" t="s">
        <v>20</v>
      </c>
      <c r="C70" s="9" t="s">
        <v>155</v>
      </c>
      <c r="D70" s="10"/>
      <c r="E70" s="10"/>
      <c r="F70" s="10"/>
      <c r="G70" s="11"/>
      <c r="H70" s="12" t="str">
        <f t="shared" si="1"/>
        <v/>
      </c>
    </row>
    <row r="71" spans="1:8" ht="186" customHeight="1">
      <c r="A71" s="9" t="s">
        <v>156</v>
      </c>
      <c r="B71" s="9" t="s">
        <v>157</v>
      </c>
      <c r="C71" s="9" t="s">
        <v>158</v>
      </c>
      <c r="D71" s="10"/>
      <c r="E71" s="10"/>
      <c r="F71" s="10"/>
      <c r="G71" s="11"/>
      <c r="H71" s="12" t="str">
        <f t="shared" si="1"/>
        <v/>
      </c>
    </row>
    <row r="72" spans="1:8" ht="95" customHeight="1">
      <c r="A72" s="9" t="s">
        <v>159</v>
      </c>
      <c r="B72" s="9" t="s">
        <v>58</v>
      </c>
      <c r="C72" s="9" t="s">
        <v>160</v>
      </c>
      <c r="D72" s="10"/>
      <c r="E72" s="10"/>
      <c r="F72" s="10"/>
      <c r="G72" s="11"/>
      <c r="H72" s="12" t="str">
        <f t="shared" si="1"/>
        <v/>
      </c>
    </row>
    <row r="73" spans="1:8" ht="173" customHeight="1">
      <c r="A73" s="9" t="s">
        <v>161</v>
      </c>
      <c r="B73" s="9" t="s">
        <v>20</v>
      </c>
      <c r="C73" s="9" t="s">
        <v>162</v>
      </c>
      <c r="D73" s="10"/>
      <c r="E73" s="10"/>
      <c r="F73" s="10"/>
      <c r="G73" s="11"/>
      <c r="H73" s="12" t="str">
        <f t="shared" si="1"/>
        <v/>
      </c>
    </row>
    <row r="74" spans="1:8" ht="400" customHeight="1">
      <c r="A74" s="9" t="s">
        <v>163</v>
      </c>
      <c r="B74" s="9" t="s">
        <v>32</v>
      </c>
      <c r="C74" s="9" t="s">
        <v>164</v>
      </c>
      <c r="D74" s="10"/>
      <c r="E74" s="10"/>
      <c r="F74" s="10"/>
      <c r="G74" s="11"/>
      <c r="H74" s="12" t="str">
        <f t="shared" si="1"/>
        <v/>
      </c>
    </row>
    <row r="75" spans="1:8" ht="238" customHeight="1">
      <c r="A75" s="9" t="s">
        <v>165</v>
      </c>
      <c r="B75" s="9" t="s">
        <v>46</v>
      </c>
      <c r="C75" s="9" t="s">
        <v>166</v>
      </c>
      <c r="D75" s="10"/>
      <c r="E75" s="10"/>
      <c r="F75" s="10"/>
      <c r="G75" s="11"/>
      <c r="H75" s="12" t="str">
        <f t="shared" si="1"/>
        <v/>
      </c>
    </row>
    <row r="76" spans="1:8" ht="134" customHeight="1">
      <c r="A76" s="9" t="s">
        <v>167</v>
      </c>
      <c r="B76" s="9" t="s">
        <v>9</v>
      </c>
      <c r="C76" s="9" t="s">
        <v>168</v>
      </c>
      <c r="D76" s="10"/>
      <c r="E76" s="10"/>
      <c r="F76" s="10"/>
      <c r="G76" s="11"/>
      <c r="H76" s="12" t="str">
        <f t="shared" si="1"/>
        <v/>
      </c>
    </row>
    <row r="77" spans="1:8" ht="225" customHeight="1">
      <c r="A77" s="9" t="s">
        <v>169</v>
      </c>
      <c r="B77" s="9" t="s">
        <v>9</v>
      </c>
      <c r="C77" s="9" t="s">
        <v>170</v>
      </c>
      <c r="D77" s="10"/>
      <c r="E77" s="10"/>
      <c r="F77" s="10"/>
      <c r="G77" s="11"/>
      <c r="H77" s="12" t="str">
        <f t="shared" si="1"/>
        <v/>
      </c>
    </row>
    <row r="78" spans="1:8" ht="212" customHeight="1">
      <c r="A78" s="9" t="s">
        <v>171</v>
      </c>
      <c r="B78" s="9" t="s">
        <v>15</v>
      </c>
      <c r="C78" s="9" t="s">
        <v>172</v>
      </c>
      <c r="D78" s="10"/>
      <c r="E78" s="10"/>
      <c r="F78" s="10"/>
      <c r="G78" s="11"/>
      <c r="H78" s="12" t="str">
        <f t="shared" si="1"/>
        <v/>
      </c>
    </row>
    <row r="79" spans="1:8" ht="82" customHeight="1">
      <c r="A79" s="9" t="s">
        <v>173</v>
      </c>
      <c r="B79" s="9" t="s">
        <v>23</v>
      </c>
      <c r="C79" s="9" t="s">
        <v>174</v>
      </c>
      <c r="D79" s="10"/>
      <c r="E79" s="10"/>
      <c r="F79" s="10"/>
      <c r="G79" s="11"/>
      <c r="H79" s="12" t="str">
        <f t="shared" si="1"/>
        <v/>
      </c>
    </row>
    <row r="80" spans="1:8" ht="121" customHeight="1">
      <c r="A80" s="9" t="s">
        <v>175</v>
      </c>
      <c r="B80" s="9" t="s">
        <v>32</v>
      </c>
      <c r="C80" s="9" t="s">
        <v>176</v>
      </c>
      <c r="D80" s="10"/>
      <c r="E80" s="10"/>
      <c r="F80" s="10"/>
      <c r="G80" s="11"/>
      <c r="H80" s="12" t="str">
        <f t="shared" si="1"/>
        <v/>
      </c>
    </row>
    <row r="81" spans="1:8" ht="134" customHeight="1">
      <c r="A81" s="9" t="s">
        <v>177</v>
      </c>
      <c r="B81" s="9" t="s">
        <v>23</v>
      </c>
      <c r="C81" s="9" t="s">
        <v>178</v>
      </c>
      <c r="D81" s="10"/>
      <c r="E81" s="10"/>
      <c r="F81" s="10"/>
      <c r="G81" s="11"/>
      <c r="H81" s="12" t="str">
        <f t="shared" si="1"/>
        <v/>
      </c>
    </row>
    <row r="82" spans="1:8" ht="199" customHeight="1">
      <c r="A82" s="9" t="s">
        <v>179</v>
      </c>
      <c r="B82" s="9" t="s">
        <v>51</v>
      </c>
      <c r="C82" s="9" t="s">
        <v>180</v>
      </c>
      <c r="D82" s="10"/>
      <c r="E82" s="10"/>
      <c r="F82" s="10"/>
      <c r="G82" s="11"/>
      <c r="H82" s="12" t="str">
        <f t="shared" si="1"/>
        <v/>
      </c>
    </row>
    <row r="83" spans="1:8" ht="147" customHeight="1">
      <c r="A83" s="9" t="s">
        <v>181</v>
      </c>
      <c r="B83" s="9" t="s">
        <v>37</v>
      </c>
      <c r="C83" s="9" t="s">
        <v>182</v>
      </c>
      <c r="D83" s="10"/>
      <c r="E83" s="10"/>
      <c r="F83" s="10"/>
      <c r="G83" s="11"/>
      <c r="H83" s="12" t="str">
        <f t="shared" si="1"/>
        <v/>
      </c>
    </row>
    <row r="84" spans="1:8" ht="160" customHeight="1">
      <c r="A84" s="9" t="s">
        <v>183</v>
      </c>
      <c r="B84" s="9" t="s">
        <v>32</v>
      </c>
      <c r="C84" s="9" t="s">
        <v>184</v>
      </c>
      <c r="D84" s="10"/>
      <c r="E84" s="10"/>
      <c r="F84" s="10"/>
      <c r="G84" s="11"/>
      <c r="H84" s="12" t="str">
        <f t="shared" si="1"/>
        <v/>
      </c>
    </row>
    <row r="85" spans="1:8" ht="82" customHeight="1">
      <c r="A85" s="9" t="s">
        <v>185</v>
      </c>
      <c r="B85" s="9" t="s">
        <v>46</v>
      </c>
      <c r="C85" s="9" t="s">
        <v>186</v>
      </c>
      <c r="D85" s="10"/>
      <c r="E85" s="10"/>
      <c r="F85" s="10"/>
      <c r="G85" s="11"/>
      <c r="H85" s="12" t="str">
        <f t="shared" si="1"/>
        <v/>
      </c>
    </row>
    <row r="86" spans="1:8" ht="134" customHeight="1">
      <c r="A86" s="9" t="s">
        <v>187</v>
      </c>
      <c r="B86" s="9" t="s">
        <v>188</v>
      </c>
      <c r="C86" s="9" t="s">
        <v>189</v>
      </c>
      <c r="D86" s="10"/>
      <c r="E86" s="10"/>
      <c r="F86" s="10"/>
      <c r="G86" s="11"/>
      <c r="H86" s="12" t="str">
        <f t="shared" si="1"/>
        <v/>
      </c>
    </row>
    <row r="87" spans="1:8" ht="82" customHeight="1">
      <c r="A87" s="9" t="s">
        <v>190</v>
      </c>
      <c r="B87" s="9" t="s">
        <v>37</v>
      </c>
      <c r="C87" s="9" t="s">
        <v>191</v>
      </c>
      <c r="D87" s="10"/>
      <c r="E87" s="10"/>
      <c r="F87" s="10"/>
      <c r="G87" s="11"/>
      <c r="H87" s="12" t="str">
        <f t="shared" si="1"/>
        <v/>
      </c>
    </row>
    <row r="88" spans="1:8" ht="147" customHeight="1">
      <c r="A88" s="9" t="s">
        <v>192</v>
      </c>
      <c r="B88" s="9" t="s">
        <v>12</v>
      </c>
      <c r="C88" s="9" t="s">
        <v>193</v>
      </c>
      <c r="D88" s="10"/>
      <c r="E88" s="10"/>
      <c r="F88" s="10"/>
      <c r="G88" s="11"/>
      <c r="H88" s="12" t="str">
        <f t="shared" si="1"/>
        <v/>
      </c>
    </row>
    <row r="89" spans="1:8" ht="147" customHeight="1">
      <c r="A89" s="9" t="s">
        <v>194</v>
      </c>
      <c r="B89" s="9" t="s">
        <v>12</v>
      </c>
      <c r="C89" s="9" t="s">
        <v>195</v>
      </c>
      <c r="D89" s="10"/>
      <c r="E89" s="10"/>
      <c r="F89" s="10"/>
      <c r="G89" s="11"/>
      <c r="H89" s="12" t="str">
        <f t="shared" si="1"/>
        <v/>
      </c>
    </row>
    <row r="90" spans="1:8" ht="212" customHeight="1">
      <c r="A90" s="9" t="s">
        <v>196</v>
      </c>
      <c r="B90" s="9" t="s">
        <v>188</v>
      </c>
      <c r="C90" s="9" t="s">
        <v>197</v>
      </c>
      <c r="D90" s="10"/>
      <c r="E90" s="10"/>
      <c r="F90" s="10"/>
      <c r="G90" s="11"/>
      <c r="H90" s="12" t="str">
        <f t="shared" si="1"/>
        <v/>
      </c>
    </row>
    <row r="91" spans="1:8" ht="251" customHeight="1">
      <c r="A91" s="9" t="s">
        <v>198</v>
      </c>
      <c r="B91" s="9" t="s">
        <v>157</v>
      </c>
      <c r="C91" s="9" t="s">
        <v>199</v>
      </c>
      <c r="D91" s="10"/>
      <c r="E91" s="10"/>
      <c r="F91" s="10"/>
      <c r="G91" s="11"/>
      <c r="H91" s="12" t="str">
        <f t="shared" si="1"/>
        <v/>
      </c>
    </row>
    <row r="92" spans="1:8" ht="108" customHeight="1">
      <c r="A92" s="9" t="s">
        <v>200</v>
      </c>
      <c r="B92" s="9" t="s">
        <v>23</v>
      </c>
      <c r="C92" s="9" t="s">
        <v>201</v>
      </c>
      <c r="D92" s="10"/>
      <c r="E92" s="10"/>
      <c r="F92" s="10"/>
      <c r="G92" s="11"/>
      <c r="H92" s="12" t="str">
        <f t="shared" si="1"/>
        <v/>
      </c>
    </row>
    <row r="93" spans="1:8" ht="186" customHeight="1">
      <c r="A93" s="9" t="s">
        <v>202</v>
      </c>
      <c r="B93" s="9" t="s">
        <v>46</v>
      </c>
      <c r="C93" s="9" t="s">
        <v>203</v>
      </c>
      <c r="D93" s="10"/>
      <c r="E93" s="10"/>
      <c r="F93" s="10"/>
      <c r="G93" s="11"/>
      <c r="H93" s="12" t="str">
        <f t="shared" si="1"/>
        <v/>
      </c>
    </row>
    <row r="94" spans="1:8" ht="56" customHeight="1">
      <c r="A94" s="9" t="s">
        <v>204</v>
      </c>
      <c r="B94" s="9" t="s">
        <v>37</v>
      </c>
      <c r="C94" s="9" t="s">
        <v>205</v>
      </c>
      <c r="D94" s="10"/>
      <c r="E94" s="10"/>
      <c r="F94" s="10"/>
      <c r="G94" s="11"/>
      <c r="H94" s="12" t="str">
        <f t="shared" si="1"/>
        <v/>
      </c>
    </row>
    <row r="95" spans="1:8" ht="95" customHeight="1">
      <c r="A95" s="9" t="s">
        <v>206</v>
      </c>
      <c r="B95" s="9" t="s">
        <v>20</v>
      </c>
      <c r="C95" s="9" t="s">
        <v>207</v>
      </c>
      <c r="D95" s="10"/>
      <c r="E95" s="10"/>
      <c r="F95" s="10"/>
      <c r="G95" s="11"/>
      <c r="H95" s="12" t="str">
        <f t="shared" si="1"/>
        <v/>
      </c>
    </row>
    <row r="96" spans="1:8" ht="147" customHeight="1">
      <c r="A96" s="9" t="s">
        <v>208</v>
      </c>
      <c r="B96" s="9" t="s">
        <v>23</v>
      </c>
      <c r="C96" s="9" t="s">
        <v>209</v>
      </c>
      <c r="D96" s="10"/>
      <c r="E96" s="10"/>
      <c r="F96" s="10"/>
      <c r="G96" s="11"/>
      <c r="H96" s="12" t="str">
        <f t="shared" si="1"/>
        <v/>
      </c>
    </row>
    <row r="97" spans="1:8" ht="212" customHeight="1">
      <c r="A97" s="9" t="s">
        <v>210</v>
      </c>
      <c r="B97" s="9" t="s">
        <v>58</v>
      </c>
      <c r="C97" s="9" t="s">
        <v>211</v>
      </c>
      <c r="D97" s="10"/>
      <c r="E97" s="10"/>
      <c r="F97" s="10"/>
      <c r="G97" s="11"/>
      <c r="H97" s="12" t="str">
        <f t="shared" si="1"/>
        <v/>
      </c>
    </row>
    <row r="98" spans="1:8" ht="160" customHeight="1">
      <c r="A98" s="9" t="s">
        <v>212</v>
      </c>
      <c r="B98" s="9" t="s">
        <v>23</v>
      </c>
      <c r="C98" s="9" t="s">
        <v>213</v>
      </c>
      <c r="D98" s="10"/>
      <c r="E98" s="10"/>
      <c r="F98" s="10"/>
      <c r="G98" s="11"/>
      <c r="H98" s="12" t="str">
        <f t="shared" si="1"/>
        <v/>
      </c>
    </row>
    <row r="99" spans="1:8" ht="82" customHeight="1">
      <c r="A99" s="9" t="s">
        <v>214</v>
      </c>
      <c r="B99" s="9" t="s">
        <v>20</v>
      </c>
      <c r="C99" s="9" t="s">
        <v>215</v>
      </c>
      <c r="D99" s="10"/>
      <c r="E99" s="10"/>
      <c r="F99" s="10"/>
      <c r="G99" s="11"/>
      <c r="H99" s="12" t="str">
        <f t="shared" si="1"/>
        <v/>
      </c>
    </row>
    <row r="100" spans="1:8" ht="173" customHeight="1">
      <c r="A100" s="9" t="s">
        <v>216</v>
      </c>
      <c r="B100" s="9" t="s">
        <v>20</v>
      </c>
      <c r="C100" s="9" t="s">
        <v>217</v>
      </c>
      <c r="D100" s="10"/>
      <c r="E100" s="10"/>
      <c r="F100" s="10"/>
      <c r="G100" s="11"/>
      <c r="H100" s="12" t="str">
        <f t="shared" si="1"/>
        <v/>
      </c>
    </row>
    <row r="101" spans="1:8" ht="147" customHeight="1">
      <c r="A101" s="9" t="s">
        <v>218</v>
      </c>
      <c r="B101" s="9" t="s">
        <v>20</v>
      </c>
      <c r="C101" s="9" t="s">
        <v>219</v>
      </c>
      <c r="D101" s="10"/>
      <c r="E101" s="10"/>
      <c r="F101" s="10"/>
      <c r="G101" s="11"/>
      <c r="H101" s="12" t="str">
        <f t="shared" si="1"/>
        <v/>
      </c>
    </row>
    <row r="102" spans="1:8" ht="212" customHeight="1">
      <c r="A102" s="9" t="s">
        <v>220</v>
      </c>
      <c r="B102" s="9" t="s">
        <v>15</v>
      </c>
      <c r="C102" s="9" t="s">
        <v>221</v>
      </c>
      <c r="D102" s="10"/>
      <c r="E102" s="10"/>
      <c r="F102" s="10"/>
      <c r="G102" s="11"/>
      <c r="H102" s="12" t="str">
        <f t="shared" si="1"/>
        <v/>
      </c>
    </row>
    <row r="103" spans="1:8" ht="147" customHeight="1">
      <c r="A103" s="9" t="s">
        <v>222</v>
      </c>
      <c r="B103" s="9" t="s">
        <v>20</v>
      </c>
      <c r="C103" s="9" t="s">
        <v>223</v>
      </c>
      <c r="D103" s="10"/>
      <c r="E103" s="10"/>
      <c r="F103" s="10"/>
      <c r="G103" s="11"/>
      <c r="H103" s="12" t="str">
        <f t="shared" si="1"/>
        <v/>
      </c>
    </row>
    <row r="104" spans="1:8" ht="173" customHeight="1">
      <c r="A104" s="9" t="s">
        <v>224</v>
      </c>
      <c r="B104" s="9" t="s">
        <v>15</v>
      </c>
      <c r="C104" s="9" t="s">
        <v>225</v>
      </c>
      <c r="D104" s="10"/>
      <c r="E104" s="10"/>
      <c r="F104" s="10"/>
      <c r="G104" s="11"/>
      <c r="H104" s="12" t="str">
        <f t="shared" si="1"/>
        <v/>
      </c>
    </row>
    <row r="105" spans="1:8" ht="173" customHeight="1">
      <c r="A105" s="9" t="s">
        <v>226</v>
      </c>
      <c r="B105" s="9" t="s">
        <v>23</v>
      </c>
      <c r="C105" s="9" t="s">
        <v>227</v>
      </c>
      <c r="D105" s="10"/>
      <c r="E105" s="10"/>
      <c r="F105" s="10"/>
      <c r="G105" s="11"/>
      <c r="H105" s="12" t="str">
        <f t="shared" si="1"/>
        <v/>
      </c>
    </row>
    <row r="106" spans="1:8" ht="400" customHeight="1">
      <c r="A106" s="9" t="s">
        <v>228</v>
      </c>
      <c r="B106" s="9" t="s">
        <v>32</v>
      </c>
      <c r="C106" s="9" t="s">
        <v>229</v>
      </c>
      <c r="D106" s="10"/>
      <c r="E106" s="10"/>
      <c r="F106" s="10"/>
      <c r="G106" s="11"/>
      <c r="H106" s="12" t="str">
        <f t="shared" si="1"/>
        <v/>
      </c>
    </row>
    <row r="107" spans="1:8" ht="160" customHeight="1">
      <c r="A107" s="9" t="s">
        <v>230</v>
      </c>
      <c r="B107" s="9" t="s">
        <v>9</v>
      </c>
      <c r="C107" s="9" t="s">
        <v>231</v>
      </c>
      <c r="D107" s="10"/>
      <c r="E107" s="10"/>
      <c r="F107" s="10"/>
      <c r="G107" s="11"/>
      <c r="H107" s="12" t="str">
        <f t="shared" si="1"/>
        <v/>
      </c>
    </row>
    <row r="108" spans="1:8" ht="186" customHeight="1">
      <c r="A108" s="9" t="s">
        <v>232</v>
      </c>
      <c r="B108" s="9" t="s">
        <v>15</v>
      </c>
      <c r="C108" s="9" t="s">
        <v>233</v>
      </c>
      <c r="D108" s="10"/>
      <c r="E108" s="10"/>
      <c r="F108" s="10"/>
      <c r="G108" s="11"/>
      <c r="H108" s="12" t="str">
        <f t="shared" si="1"/>
        <v/>
      </c>
    </row>
    <row r="109" spans="1:8" ht="108" customHeight="1">
      <c r="A109" s="9" t="s">
        <v>234</v>
      </c>
      <c r="B109" s="9" t="s">
        <v>23</v>
      </c>
      <c r="C109" s="9" t="s">
        <v>235</v>
      </c>
      <c r="D109" s="10"/>
      <c r="E109" s="10"/>
      <c r="F109" s="10"/>
      <c r="G109" s="11"/>
      <c r="H109" s="12" t="str">
        <f t="shared" si="1"/>
        <v/>
      </c>
    </row>
    <row r="110" spans="1:8" ht="121" customHeight="1">
      <c r="A110" s="9" t="s">
        <v>236</v>
      </c>
      <c r="B110" s="9" t="s">
        <v>20</v>
      </c>
      <c r="C110" s="9" t="s">
        <v>237</v>
      </c>
      <c r="D110" s="10"/>
      <c r="E110" s="10"/>
      <c r="F110" s="10"/>
      <c r="G110" s="11"/>
      <c r="H110" s="12" t="str">
        <f t="shared" si="1"/>
        <v/>
      </c>
    </row>
    <row r="111" spans="1:8" ht="199" customHeight="1">
      <c r="A111" s="9" t="s">
        <v>238</v>
      </c>
      <c r="B111" s="9" t="s">
        <v>188</v>
      </c>
      <c r="C111" s="9" t="s">
        <v>239</v>
      </c>
      <c r="D111" s="10"/>
      <c r="E111" s="10"/>
      <c r="F111" s="10"/>
      <c r="G111" s="11"/>
      <c r="H111" s="12" t="str">
        <f t="shared" si="1"/>
        <v/>
      </c>
    </row>
    <row r="112" spans="1:8" ht="69" customHeight="1">
      <c r="A112" s="9" t="s">
        <v>240</v>
      </c>
      <c r="B112" s="9" t="s">
        <v>32</v>
      </c>
      <c r="C112" s="9" t="s">
        <v>241</v>
      </c>
      <c r="D112" s="10"/>
      <c r="E112" s="10"/>
      <c r="F112" s="10"/>
      <c r="G112" s="11"/>
      <c r="H112" s="12" t="str">
        <f t="shared" si="1"/>
        <v/>
      </c>
    </row>
    <row r="113" spans="1:8" ht="199" customHeight="1">
      <c r="A113" s="9" t="s">
        <v>242</v>
      </c>
      <c r="B113" s="9" t="s">
        <v>20</v>
      </c>
      <c r="C113" s="9" t="s">
        <v>243</v>
      </c>
      <c r="D113" s="10"/>
      <c r="E113" s="10"/>
      <c r="F113" s="10"/>
      <c r="G113" s="11"/>
      <c r="H113" s="12" t="str">
        <f t="shared" si="1"/>
        <v/>
      </c>
    </row>
    <row r="114" spans="1:8" ht="160" customHeight="1">
      <c r="A114" s="9" t="s">
        <v>244</v>
      </c>
      <c r="B114" s="9" t="s">
        <v>23</v>
      </c>
      <c r="C114" s="9" t="s">
        <v>245</v>
      </c>
      <c r="D114" s="10"/>
      <c r="E114" s="10"/>
      <c r="F114" s="10"/>
      <c r="G114" s="11"/>
      <c r="H114" s="12" t="str">
        <f t="shared" si="1"/>
        <v/>
      </c>
    </row>
    <row r="115" spans="1:8" ht="173" customHeight="1">
      <c r="A115" s="9" t="s">
        <v>246</v>
      </c>
      <c r="B115" s="9" t="s">
        <v>23</v>
      </c>
      <c r="C115" s="9" t="s">
        <v>247</v>
      </c>
      <c r="D115" s="10"/>
      <c r="E115" s="10"/>
      <c r="F115" s="10"/>
      <c r="G115" s="11"/>
      <c r="H115" s="12" t="str">
        <f t="shared" si="1"/>
        <v/>
      </c>
    </row>
    <row r="116" spans="1:8" ht="95" customHeight="1">
      <c r="A116" s="9" t="s">
        <v>248</v>
      </c>
      <c r="B116" s="9" t="s">
        <v>15</v>
      </c>
      <c r="C116" s="9" t="s">
        <v>249</v>
      </c>
      <c r="D116" s="10"/>
      <c r="E116" s="10"/>
      <c r="F116" s="10"/>
      <c r="G116" s="11"/>
      <c r="H116" s="12" t="str">
        <f t="shared" si="1"/>
        <v/>
      </c>
    </row>
    <row r="117" spans="1:8" ht="290" customHeight="1">
      <c r="A117" s="9" t="s">
        <v>250</v>
      </c>
      <c r="B117" s="9" t="s">
        <v>23</v>
      </c>
      <c r="C117" s="9" t="s">
        <v>251</v>
      </c>
      <c r="D117" s="10"/>
      <c r="E117" s="10"/>
      <c r="F117" s="10"/>
      <c r="G117" s="11"/>
      <c r="H117" s="12" t="str">
        <f t="shared" si="1"/>
        <v/>
      </c>
    </row>
    <row r="118" spans="1:8" ht="82" customHeight="1">
      <c r="A118" s="9" t="s">
        <v>252</v>
      </c>
      <c r="B118" s="9" t="s">
        <v>23</v>
      </c>
      <c r="C118" s="9" t="s">
        <v>253</v>
      </c>
      <c r="D118" s="10"/>
      <c r="E118" s="10"/>
      <c r="F118" s="10"/>
      <c r="G118" s="11"/>
      <c r="H118" s="12" t="str">
        <f t="shared" si="1"/>
        <v/>
      </c>
    </row>
    <row r="119" spans="1:8" ht="238" customHeight="1">
      <c r="A119" s="9" t="s">
        <v>254</v>
      </c>
      <c r="B119" s="9" t="s">
        <v>20</v>
      </c>
      <c r="C119" s="9" t="s">
        <v>255</v>
      </c>
      <c r="D119" s="10"/>
      <c r="E119" s="10"/>
      <c r="F119" s="10"/>
      <c r="G119" s="11"/>
      <c r="H119" s="12" t="str">
        <f t="shared" si="1"/>
        <v/>
      </c>
    </row>
    <row r="120" spans="1:8" ht="173" customHeight="1">
      <c r="A120" s="9" t="s">
        <v>256</v>
      </c>
      <c r="B120" s="9" t="s">
        <v>32</v>
      </c>
      <c r="C120" s="9" t="s">
        <v>257</v>
      </c>
      <c r="D120" s="10"/>
      <c r="E120" s="10"/>
      <c r="F120" s="10"/>
      <c r="G120" s="11"/>
      <c r="H120" s="12" t="str">
        <f t="shared" si="1"/>
        <v/>
      </c>
    </row>
    <row r="121" spans="1:8" ht="186" customHeight="1">
      <c r="A121" s="9" t="s">
        <v>258</v>
      </c>
      <c r="B121" s="9" t="s">
        <v>15</v>
      </c>
      <c r="C121" s="9" t="s">
        <v>259</v>
      </c>
      <c r="D121" s="10"/>
      <c r="E121" s="10"/>
      <c r="F121" s="10"/>
      <c r="G121" s="11"/>
      <c r="H121" s="12" t="str">
        <f t="shared" si="1"/>
        <v/>
      </c>
    </row>
    <row r="122" spans="1:8" ht="147" customHeight="1">
      <c r="A122" s="9" t="s">
        <v>260</v>
      </c>
      <c r="B122" s="9" t="s">
        <v>37</v>
      </c>
      <c r="C122" s="9" t="s">
        <v>261</v>
      </c>
      <c r="D122" s="10"/>
      <c r="E122" s="10"/>
      <c r="F122" s="10"/>
      <c r="G122" s="11"/>
      <c r="H122" s="12" t="str">
        <f t="shared" si="1"/>
        <v/>
      </c>
    </row>
    <row r="123" spans="1:8" ht="160" customHeight="1">
      <c r="A123" s="9" t="s">
        <v>262</v>
      </c>
      <c r="B123" s="9" t="s">
        <v>46</v>
      </c>
      <c r="C123" s="9" t="s">
        <v>263</v>
      </c>
      <c r="D123" s="10"/>
      <c r="E123" s="10"/>
      <c r="F123" s="10"/>
      <c r="G123" s="11"/>
      <c r="H123" s="12" t="str">
        <f t="shared" si="1"/>
        <v/>
      </c>
    </row>
    <row r="124" spans="1:8" ht="173" customHeight="1">
      <c r="A124" s="9" t="s">
        <v>264</v>
      </c>
      <c r="B124" s="9" t="s">
        <v>37</v>
      </c>
      <c r="C124" s="9" t="s">
        <v>265</v>
      </c>
      <c r="D124" s="10"/>
      <c r="E124" s="10"/>
      <c r="F124" s="10"/>
      <c r="G124" s="11"/>
      <c r="H124" s="12" t="str">
        <f t="shared" si="1"/>
        <v/>
      </c>
    </row>
    <row r="125" spans="1:8" ht="329" customHeight="1">
      <c r="A125" s="9" t="s">
        <v>266</v>
      </c>
      <c r="B125" s="9" t="s">
        <v>15</v>
      </c>
      <c r="C125" s="9" t="s">
        <v>267</v>
      </c>
      <c r="D125" s="10"/>
      <c r="E125" s="10"/>
      <c r="F125" s="10"/>
      <c r="G125" s="11"/>
      <c r="H125" s="12" t="str">
        <f t="shared" si="1"/>
        <v/>
      </c>
    </row>
    <row r="126" spans="1:8" ht="212" customHeight="1">
      <c r="A126" s="9" t="s">
        <v>268</v>
      </c>
      <c r="B126" s="9" t="s">
        <v>9</v>
      </c>
      <c r="C126" s="9" t="s">
        <v>269</v>
      </c>
      <c r="D126" s="10"/>
      <c r="E126" s="10"/>
      <c r="F126" s="10"/>
      <c r="G126" s="11"/>
      <c r="H126" s="12" t="str">
        <f t="shared" si="1"/>
        <v/>
      </c>
    </row>
    <row r="127" spans="1:8" ht="186" customHeight="1">
      <c r="A127" s="9" t="s">
        <v>270</v>
      </c>
      <c r="B127" s="9" t="s">
        <v>58</v>
      </c>
      <c r="C127" s="9" t="s">
        <v>271</v>
      </c>
      <c r="D127" s="10"/>
      <c r="E127" s="10"/>
      <c r="F127" s="10"/>
      <c r="G127" s="11"/>
      <c r="H127" s="12" t="str">
        <f t="shared" si="1"/>
        <v/>
      </c>
    </row>
    <row r="128" spans="1:8" ht="95" customHeight="1">
      <c r="A128" s="9" t="s">
        <v>272</v>
      </c>
      <c r="B128" s="9" t="s">
        <v>46</v>
      </c>
      <c r="C128" s="9" t="s">
        <v>273</v>
      </c>
      <c r="D128" s="10"/>
      <c r="E128" s="10"/>
      <c r="F128" s="10"/>
      <c r="G128" s="11"/>
      <c r="H128" s="12" t="str">
        <f t="shared" si="1"/>
        <v/>
      </c>
    </row>
    <row r="129" spans="1:8" ht="108" customHeight="1">
      <c r="A129" s="9" t="s">
        <v>274</v>
      </c>
      <c r="B129" s="9" t="s">
        <v>15</v>
      </c>
      <c r="C129" s="9" t="s">
        <v>275</v>
      </c>
      <c r="D129" s="10"/>
      <c r="E129" s="10"/>
      <c r="F129" s="10"/>
      <c r="G129" s="11"/>
      <c r="H129" s="12" t="str">
        <f t="shared" si="1"/>
        <v/>
      </c>
    </row>
    <row r="130" spans="1:8" ht="134" customHeight="1">
      <c r="A130" s="9" t="s">
        <v>276</v>
      </c>
      <c r="B130" s="9" t="s">
        <v>12</v>
      </c>
      <c r="C130" s="9" t="s">
        <v>277</v>
      </c>
      <c r="D130" s="10"/>
      <c r="E130" s="10"/>
      <c r="F130" s="10"/>
      <c r="G130" s="11"/>
      <c r="H130" s="12" t="str">
        <f t="shared" ref="H130:H193" si="2">IF(D130="Hawkish",1,IF(D130="Dovish",-1,IF(D130="Neutral",0,"")))</f>
        <v/>
      </c>
    </row>
    <row r="131" spans="1:8" ht="199" customHeight="1">
      <c r="A131" s="9" t="s">
        <v>278</v>
      </c>
      <c r="B131" s="9" t="s">
        <v>9</v>
      </c>
      <c r="C131" s="9" t="s">
        <v>279</v>
      </c>
      <c r="D131" s="10"/>
      <c r="E131" s="10"/>
      <c r="F131" s="10"/>
      <c r="G131" s="11"/>
      <c r="H131" s="12" t="str">
        <f t="shared" si="2"/>
        <v/>
      </c>
    </row>
    <row r="132" spans="1:8" ht="147" customHeight="1">
      <c r="A132" s="9" t="s">
        <v>280</v>
      </c>
      <c r="B132" s="9" t="s">
        <v>20</v>
      </c>
      <c r="C132" s="9" t="s">
        <v>281</v>
      </c>
      <c r="D132" s="10"/>
      <c r="E132" s="10"/>
      <c r="F132" s="10"/>
      <c r="G132" s="11"/>
      <c r="H132" s="12" t="str">
        <f t="shared" si="2"/>
        <v/>
      </c>
    </row>
    <row r="133" spans="1:8" ht="147" customHeight="1">
      <c r="A133" s="9" t="s">
        <v>282</v>
      </c>
      <c r="B133" s="9" t="s">
        <v>37</v>
      </c>
      <c r="C133" s="9" t="s">
        <v>283</v>
      </c>
      <c r="D133" s="10"/>
      <c r="E133" s="10"/>
      <c r="F133" s="10"/>
      <c r="G133" s="11"/>
      <c r="H133" s="12" t="str">
        <f t="shared" si="2"/>
        <v/>
      </c>
    </row>
    <row r="134" spans="1:8" ht="186" customHeight="1">
      <c r="A134" s="9" t="s">
        <v>284</v>
      </c>
      <c r="B134" s="9" t="s">
        <v>23</v>
      </c>
      <c r="C134" s="9" t="s">
        <v>285</v>
      </c>
      <c r="D134" s="10"/>
      <c r="E134" s="10"/>
      <c r="F134" s="10"/>
      <c r="G134" s="11"/>
      <c r="H134" s="12" t="str">
        <f t="shared" si="2"/>
        <v/>
      </c>
    </row>
    <row r="135" spans="1:8" ht="134" customHeight="1">
      <c r="A135" s="9" t="s">
        <v>286</v>
      </c>
      <c r="B135" s="9" t="s">
        <v>37</v>
      </c>
      <c r="C135" s="9" t="s">
        <v>287</v>
      </c>
      <c r="D135" s="10"/>
      <c r="E135" s="10"/>
      <c r="F135" s="10"/>
      <c r="G135" s="11"/>
      <c r="H135" s="12" t="str">
        <f t="shared" si="2"/>
        <v/>
      </c>
    </row>
    <row r="136" spans="1:8" ht="400" customHeight="1">
      <c r="A136" s="9" t="s">
        <v>288</v>
      </c>
      <c r="B136" s="9" t="s">
        <v>23</v>
      </c>
      <c r="C136" s="9" t="s">
        <v>289</v>
      </c>
      <c r="D136" s="10"/>
      <c r="E136" s="10"/>
      <c r="F136" s="10"/>
      <c r="G136" s="11"/>
      <c r="H136" s="12" t="str">
        <f t="shared" si="2"/>
        <v/>
      </c>
    </row>
    <row r="137" spans="1:8" ht="160" customHeight="1">
      <c r="A137" s="9" t="s">
        <v>290</v>
      </c>
      <c r="B137" s="9" t="s">
        <v>20</v>
      </c>
      <c r="C137" s="9" t="s">
        <v>291</v>
      </c>
      <c r="D137" s="10"/>
      <c r="E137" s="10"/>
      <c r="F137" s="10"/>
      <c r="G137" s="11"/>
      <c r="H137" s="12" t="str">
        <f t="shared" si="2"/>
        <v/>
      </c>
    </row>
    <row r="138" spans="1:8" ht="186" customHeight="1">
      <c r="A138" s="9" t="s">
        <v>292</v>
      </c>
      <c r="B138" s="9" t="s">
        <v>188</v>
      </c>
      <c r="C138" s="9" t="s">
        <v>293</v>
      </c>
      <c r="D138" s="10"/>
      <c r="E138" s="10"/>
      <c r="F138" s="10"/>
      <c r="G138" s="11"/>
      <c r="H138" s="12" t="str">
        <f t="shared" si="2"/>
        <v/>
      </c>
    </row>
    <row r="139" spans="1:8" ht="147" customHeight="1">
      <c r="A139" s="9" t="s">
        <v>294</v>
      </c>
      <c r="B139" s="9" t="s">
        <v>23</v>
      </c>
      <c r="C139" s="9" t="s">
        <v>295</v>
      </c>
      <c r="D139" s="10"/>
      <c r="E139" s="10"/>
      <c r="F139" s="10"/>
      <c r="G139" s="11"/>
      <c r="H139" s="12" t="str">
        <f t="shared" si="2"/>
        <v/>
      </c>
    </row>
    <row r="140" spans="1:8" ht="147" customHeight="1">
      <c r="A140" s="9" t="s">
        <v>296</v>
      </c>
      <c r="B140" s="9" t="s">
        <v>46</v>
      </c>
      <c r="C140" s="9" t="s">
        <v>297</v>
      </c>
      <c r="D140" s="10"/>
      <c r="E140" s="10"/>
      <c r="F140" s="10"/>
      <c r="G140" s="11"/>
      <c r="H140" s="12" t="str">
        <f t="shared" si="2"/>
        <v/>
      </c>
    </row>
    <row r="141" spans="1:8" ht="82" customHeight="1">
      <c r="A141" s="9" t="s">
        <v>298</v>
      </c>
      <c r="B141" s="9" t="s">
        <v>20</v>
      </c>
      <c r="C141" s="9" t="s">
        <v>299</v>
      </c>
      <c r="D141" s="10"/>
      <c r="E141" s="10"/>
      <c r="F141" s="10"/>
      <c r="G141" s="11"/>
      <c r="H141" s="12" t="str">
        <f t="shared" si="2"/>
        <v/>
      </c>
    </row>
    <row r="142" spans="1:8" ht="95" customHeight="1">
      <c r="A142" s="9" t="s">
        <v>300</v>
      </c>
      <c r="B142" s="9" t="s">
        <v>23</v>
      </c>
      <c r="C142" s="9" t="s">
        <v>301</v>
      </c>
      <c r="D142" s="10"/>
      <c r="E142" s="10"/>
      <c r="F142" s="10"/>
      <c r="G142" s="11"/>
      <c r="H142" s="12" t="str">
        <f t="shared" si="2"/>
        <v/>
      </c>
    </row>
    <row r="143" spans="1:8" ht="160" customHeight="1">
      <c r="A143" s="9" t="s">
        <v>302</v>
      </c>
      <c r="B143" s="9" t="s">
        <v>15</v>
      </c>
      <c r="C143" s="9" t="s">
        <v>303</v>
      </c>
      <c r="D143" s="10"/>
      <c r="E143" s="10"/>
      <c r="F143" s="10"/>
      <c r="G143" s="11"/>
      <c r="H143" s="12" t="str">
        <f t="shared" si="2"/>
        <v/>
      </c>
    </row>
    <row r="144" spans="1:8" ht="108" customHeight="1">
      <c r="A144" s="9" t="s">
        <v>304</v>
      </c>
      <c r="B144" s="9" t="s">
        <v>23</v>
      </c>
      <c r="C144" s="9" t="s">
        <v>305</v>
      </c>
      <c r="D144" s="10"/>
      <c r="E144" s="10"/>
      <c r="F144" s="10"/>
      <c r="G144" s="11"/>
      <c r="H144" s="12" t="str">
        <f t="shared" si="2"/>
        <v/>
      </c>
    </row>
    <row r="145" spans="1:8" ht="251" customHeight="1">
      <c r="A145" s="9" t="s">
        <v>306</v>
      </c>
      <c r="B145" s="9" t="s">
        <v>58</v>
      </c>
      <c r="C145" s="9" t="s">
        <v>307</v>
      </c>
      <c r="D145" s="10"/>
      <c r="E145" s="10"/>
      <c r="F145" s="10"/>
      <c r="G145" s="11"/>
      <c r="H145" s="12" t="str">
        <f t="shared" si="2"/>
        <v/>
      </c>
    </row>
    <row r="146" spans="1:8" ht="108" customHeight="1">
      <c r="A146" s="9" t="s">
        <v>308</v>
      </c>
      <c r="B146" s="9" t="s">
        <v>15</v>
      </c>
      <c r="C146" s="9" t="s">
        <v>309</v>
      </c>
      <c r="D146" s="10"/>
      <c r="E146" s="10"/>
      <c r="F146" s="10"/>
      <c r="G146" s="11"/>
      <c r="H146" s="12" t="str">
        <f t="shared" si="2"/>
        <v/>
      </c>
    </row>
    <row r="147" spans="1:8" ht="69" customHeight="1">
      <c r="A147" s="9" t="s">
        <v>310</v>
      </c>
      <c r="B147" s="9" t="s">
        <v>20</v>
      </c>
      <c r="C147" s="9" t="s">
        <v>311</v>
      </c>
      <c r="D147" s="10"/>
      <c r="E147" s="10"/>
      <c r="F147" s="10"/>
      <c r="G147" s="11"/>
      <c r="H147" s="12" t="str">
        <f t="shared" si="2"/>
        <v/>
      </c>
    </row>
    <row r="148" spans="1:8" ht="69" customHeight="1">
      <c r="A148" s="9" t="s">
        <v>312</v>
      </c>
      <c r="B148" s="9" t="s">
        <v>20</v>
      </c>
      <c r="C148" s="9" t="s">
        <v>49</v>
      </c>
      <c r="D148" s="10"/>
      <c r="E148" s="10"/>
      <c r="F148" s="10"/>
      <c r="G148" s="11"/>
      <c r="H148" s="12" t="str">
        <f t="shared" si="2"/>
        <v/>
      </c>
    </row>
    <row r="149" spans="1:8" ht="108" customHeight="1">
      <c r="A149" s="9" t="s">
        <v>313</v>
      </c>
      <c r="B149" s="9" t="s">
        <v>58</v>
      </c>
      <c r="C149" s="9" t="s">
        <v>314</v>
      </c>
      <c r="D149" s="10"/>
      <c r="E149" s="10"/>
      <c r="F149" s="10"/>
      <c r="G149" s="11"/>
      <c r="H149" s="12" t="str">
        <f t="shared" si="2"/>
        <v/>
      </c>
    </row>
    <row r="150" spans="1:8" ht="147" customHeight="1">
      <c r="A150" s="9" t="s">
        <v>315</v>
      </c>
      <c r="B150" s="9" t="s">
        <v>15</v>
      </c>
      <c r="C150" s="9" t="s">
        <v>316</v>
      </c>
      <c r="D150" s="10"/>
      <c r="E150" s="10"/>
      <c r="F150" s="10"/>
      <c r="G150" s="11"/>
      <c r="H150" s="12" t="str">
        <f t="shared" si="2"/>
        <v/>
      </c>
    </row>
    <row r="151" spans="1:8" ht="69" customHeight="1">
      <c r="A151" s="9" t="s">
        <v>317</v>
      </c>
      <c r="B151" s="9" t="s">
        <v>23</v>
      </c>
      <c r="C151" s="9" t="s">
        <v>318</v>
      </c>
      <c r="D151" s="10"/>
      <c r="E151" s="10"/>
      <c r="F151" s="10"/>
      <c r="G151" s="11"/>
      <c r="H151" s="12" t="str">
        <f t="shared" si="2"/>
        <v/>
      </c>
    </row>
    <row r="152" spans="1:8" ht="95" customHeight="1">
      <c r="A152" s="9" t="s">
        <v>319</v>
      </c>
      <c r="B152" s="9" t="s">
        <v>46</v>
      </c>
      <c r="C152" s="9" t="s">
        <v>320</v>
      </c>
      <c r="D152" s="10"/>
      <c r="E152" s="10"/>
      <c r="F152" s="10"/>
      <c r="G152" s="11"/>
      <c r="H152" s="12" t="str">
        <f t="shared" si="2"/>
        <v/>
      </c>
    </row>
    <row r="153" spans="1:8" ht="199" customHeight="1">
      <c r="A153" s="9" t="s">
        <v>321</v>
      </c>
      <c r="B153" s="9" t="s">
        <v>46</v>
      </c>
      <c r="C153" s="9" t="s">
        <v>322</v>
      </c>
      <c r="D153" s="10"/>
      <c r="E153" s="10"/>
      <c r="F153" s="10"/>
      <c r="G153" s="11"/>
      <c r="H153" s="12" t="str">
        <f t="shared" si="2"/>
        <v/>
      </c>
    </row>
    <row r="154" spans="1:8" ht="121" customHeight="1">
      <c r="A154" s="9" t="s">
        <v>323</v>
      </c>
      <c r="B154" s="9" t="s">
        <v>15</v>
      </c>
      <c r="C154" s="9" t="s">
        <v>324</v>
      </c>
      <c r="D154" s="10"/>
      <c r="E154" s="10"/>
      <c r="F154" s="10"/>
      <c r="G154" s="11"/>
      <c r="H154" s="12" t="str">
        <f t="shared" si="2"/>
        <v/>
      </c>
    </row>
    <row r="155" spans="1:8" ht="121" customHeight="1">
      <c r="A155" s="9" t="s">
        <v>325</v>
      </c>
      <c r="B155" s="9" t="s">
        <v>20</v>
      </c>
      <c r="C155" s="9" t="s">
        <v>21</v>
      </c>
      <c r="D155" s="10"/>
      <c r="E155" s="10"/>
      <c r="F155" s="10"/>
      <c r="G155" s="11"/>
      <c r="H155" s="12" t="str">
        <f t="shared" si="2"/>
        <v/>
      </c>
    </row>
    <row r="156" spans="1:8" ht="303" customHeight="1">
      <c r="A156" s="9" t="s">
        <v>326</v>
      </c>
      <c r="B156" s="9" t="s">
        <v>32</v>
      </c>
      <c r="C156" s="9" t="s">
        <v>73</v>
      </c>
      <c r="D156" s="10"/>
      <c r="E156" s="10"/>
      <c r="F156" s="10"/>
      <c r="G156" s="11"/>
      <c r="H156" s="12" t="str">
        <f t="shared" si="2"/>
        <v/>
      </c>
    </row>
    <row r="157" spans="1:8" ht="199" customHeight="1">
      <c r="A157" s="9" t="s">
        <v>327</v>
      </c>
      <c r="B157" s="9" t="s">
        <v>37</v>
      </c>
      <c r="C157" s="9" t="s">
        <v>328</v>
      </c>
      <c r="D157" s="10"/>
      <c r="E157" s="10"/>
      <c r="F157" s="10"/>
      <c r="G157" s="11"/>
      <c r="H157" s="12" t="str">
        <f t="shared" si="2"/>
        <v/>
      </c>
    </row>
    <row r="158" spans="1:8" ht="134" customHeight="1">
      <c r="A158" s="9" t="s">
        <v>329</v>
      </c>
      <c r="B158" s="9" t="s">
        <v>23</v>
      </c>
      <c r="C158" s="9" t="s">
        <v>330</v>
      </c>
      <c r="D158" s="10"/>
      <c r="E158" s="10"/>
      <c r="F158" s="10"/>
      <c r="G158" s="11"/>
      <c r="H158" s="12" t="str">
        <f t="shared" si="2"/>
        <v/>
      </c>
    </row>
    <row r="159" spans="1:8" ht="199" customHeight="1">
      <c r="A159" s="9" t="s">
        <v>331</v>
      </c>
      <c r="B159" s="9" t="s">
        <v>15</v>
      </c>
      <c r="C159" s="9" t="s">
        <v>109</v>
      </c>
      <c r="D159" s="10"/>
      <c r="E159" s="10"/>
      <c r="F159" s="10"/>
      <c r="G159" s="11"/>
      <c r="H159" s="12" t="str">
        <f t="shared" si="2"/>
        <v/>
      </c>
    </row>
    <row r="160" spans="1:8" ht="173" customHeight="1">
      <c r="A160" s="9" t="s">
        <v>332</v>
      </c>
      <c r="B160" s="9" t="s">
        <v>20</v>
      </c>
      <c r="C160" s="9" t="s">
        <v>333</v>
      </c>
      <c r="D160" s="10"/>
      <c r="E160" s="10"/>
      <c r="F160" s="10"/>
      <c r="G160" s="11"/>
      <c r="H160" s="12" t="str">
        <f t="shared" si="2"/>
        <v/>
      </c>
    </row>
    <row r="161" spans="1:8" ht="173" customHeight="1">
      <c r="A161" s="9" t="s">
        <v>334</v>
      </c>
      <c r="B161" s="9" t="s">
        <v>9</v>
      </c>
      <c r="C161" s="9" t="s">
        <v>335</v>
      </c>
      <c r="D161" s="10"/>
      <c r="E161" s="10"/>
      <c r="F161" s="10"/>
      <c r="G161" s="11"/>
      <c r="H161" s="12" t="str">
        <f t="shared" si="2"/>
        <v/>
      </c>
    </row>
    <row r="162" spans="1:8" ht="56" customHeight="1">
      <c r="A162" s="9" t="s">
        <v>336</v>
      </c>
      <c r="B162" s="9" t="s">
        <v>32</v>
      </c>
      <c r="C162" s="9" t="s">
        <v>33</v>
      </c>
      <c r="D162" s="10"/>
      <c r="E162" s="10"/>
      <c r="F162" s="10"/>
      <c r="G162" s="11"/>
      <c r="H162" s="12" t="str">
        <f t="shared" si="2"/>
        <v/>
      </c>
    </row>
    <row r="163" spans="1:8" ht="225" customHeight="1">
      <c r="A163" s="9" t="s">
        <v>337</v>
      </c>
      <c r="B163" s="9" t="s">
        <v>32</v>
      </c>
      <c r="C163" s="9" t="s">
        <v>338</v>
      </c>
      <c r="D163" s="10"/>
      <c r="E163" s="10"/>
      <c r="F163" s="10"/>
      <c r="G163" s="11"/>
      <c r="H163" s="12" t="str">
        <f t="shared" si="2"/>
        <v/>
      </c>
    </row>
    <row r="164" spans="1:8" ht="186" customHeight="1">
      <c r="A164" s="9" t="s">
        <v>339</v>
      </c>
      <c r="B164" s="9" t="s">
        <v>157</v>
      </c>
      <c r="C164" s="9" t="s">
        <v>158</v>
      </c>
      <c r="D164" s="10"/>
      <c r="E164" s="10"/>
      <c r="F164" s="10"/>
      <c r="G164" s="11"/>
      <c r="H164" s="12" t="str">
        <f t="shared" si="2"/>
        <v/>
      </c>
    </row>
    <row r="165" spans="1:8" ht="108" customHeight="1">
      <c r="A165" s="9" t="s">
        <v>340</v>
      </c>
      <c r="B165" s="9" t="s">
        <v>46</v>
      </c>
      <c r="C165" s="9" t="s">
        <v>341</v>
      </c>
      <c r="D165" s="10"/>
      <c r="E165" s="10"/>
      <c r="F165" s="10"/>
      <c r="G165" s="11"/>
      <c r="H165" s="12" t="str">
        <f t="shared" si="2"/>
        <v/>
      </c>
    </row>
    <row r="166" spans="1:8" ht="95" customHeight="1">
      <c r="A166" s="9" t="s">
        <v>342</v>
      </c>
      <c r="B166" s="9" t="s">
        <v>46</v>
      </c>
      <c r="C166" s="9" t="s">
        <v>273</v>
      </c>
      <c r="D166" s="10"/>
      <c r="E166" s="10"/>
      <c r="F166" s="10"/>
      <c r="G166" s="11"/>
      <c r="H166" s="12" t="str">
        <f t="shared" si="2"/>
        <v/>
      </c>
    </row>
    <row r="167" spans="1:8" ht="108" customHeight="1">
      <c r="A167" s="9" t="s">
        <v>343</v>
      </c>
      <c r="B167" s="9" t="s">
        <v>9</v>
      </c>
      <c r="C167" s="9" t="s">
        <v>344</v>
      </c>
      <c r="D167" s="10"/>
      <c r="E167" s="10"/>
      <c r="F167" s="10"/>
      <c r="G167" s="11"/>
      <c r="H167" s="12" t="str">
        <f t="shared" si="2"/>
        <v/>
      </c>
    </row>
    <row r="168" spans="1:8" ht="134" customHeight="1">
      <c r="A168" s="9" t="s">
        <v>345</v>
      </c>
      <c r="B168" s="9" t="s">
        <v>9</v>
      </c>
      <c r="C168" s="9" t="s">
        <v>346</v>
      </c>
      <c r="D168" s="10"/>
      <c r="E168" s="10"/>
      <c r="F168" s="10"/>
      <c r="G168" s="11"/>
      <c r="H168" s="12" t="str">
        <f t="shared" si="2"/>
        <v/>
      </c>
    </row>
    <row r="169" spans="1:8" ht="173" customHeight="1">
      <c r="A169" s="9" t="s">
        <v>347</v>
      </c>
      <c r="B169" s="9" t="s">
        <v>23</v>
      </c>
      <c r="C169" s="9" t="s">
        <v>115</v>
      </c>
      <c r="D169" s="10"/>
      <c r="E169" s="10"/>
      <c r="F169" s="10"/>
      <c r="G169" s="11"/>
      <c r="H169" s="12" t="str">
        <f t="shared" si="2"/>
        <v/>
      </c>
    </row>
    <row r="170" spans="1:8" ht="251" customHeight="1">
      <c r="A170" s="9" t="s">
        <v>348</v>
      </c>
      <c r="B170" s="9" t="s">
        <v>15</v>
      </c>
      <c r="C170" s="9" t="s">
        <v>349</v>
      </c>
      <c r="D170" s="10"/>
      <c r="E170" s="10"/>
      <c r="F170" s="10"/>
      <c r="G170" s="11"/>
      <c r="H170" s="12" t="str">
        <f t="shared" si="2"/>
        <v/>
      </c>
    </row>
    <row r="171" spans="1:8" ht="186" customHeight="1">
      <c r="A171" s="9" t="s">
        <v>350</v>
      </c>
      <c r="B171" s="9" t="s">
        <v>15</v>
      </c>
      <c r="C171" s="9" t="s">
        <v>259</v>
      </c>
      <c r="D171" s="10"/>
      <c r="E171" s="10"/>
      <c r="F171" s="10"/>
      <c r="G171" s="11"/>
      <c r="H171" s="12" t="str">
        <f t="shared" si="2"/>
        <v/>
      </c>
    </row>
    <row r="172" spans="1:8" ht="108" customHeight="1">
      <c r="A172" s="9" t="s">
        <v>351</v>
      </c>
      <c r="B172" s="9" t="s">
        <v>37</v>
      </c>
      <c r="C172" s="9" t="s">
        <v>352</v>
      </c>
      <c r="D172" s="10"/>
      <c r="E172" s="10"/>
      <c r="F172" s="10"/>
      <c r="G172" s="11"/>
      <c r="H172" s="12" t="str">
        <f t="shared" si="2"/>
        <v/>
      </c>
    </row>
    <row r="173" spans="1:8" ht="134" customHeight="1">
      <c r="A173" s="9" t="s">
        <v>353</v>
      </c>
      <c r="B173" s="9" t="s">
        <v>58</v>
      </c>
      <c r="C173" s="9" t="s">
        <v>354</v>
      </c>
      <c r="D173" s="10"/>
      <c r="E173" s="10"/>
      <c r="F173" s="10"/>
      <c r="G173" s="11"/>
      <c r="H173" s="12" t="str">
        <f t="shared" si="2"/>
        <v/>
      </c>
    </row>
    <row r="174" spans="1:8" ht="238" customHeight="1">
      <c r="A174" s="9" t="s">
        <v>355</v>
      </c>
      <c r="B174" s="9" t="s">
        <v>32</v>
      </c>
      <c r="C174" s="9" t="s">
        <v>149</v>
      </c>
      <c r="D174" s="10"/>
      <c r="E174" s="10"/>
      <c r="F174" s="10"/>
      <c r="G174" s="11"/>
      <c r="H174" s="12" t="str">
        <f t="shared" si="2"/>
        <v/>
      </c>
    </row>
    <row r="175" spans="1:8" ht="199" customHeight="1">
      <c r="A175" s="9" t="s">
        <v>356</v>
      </c>
      <c r="B175" s="9" t="s">
        <v>15</v>
      </c>
      <c r="C175" s="9" t="s">
        <v>357</v>
      </c>
      <c r="D175" s="10"/>
      <c r="E175" s="10"/>
      <c r="F175" s="10"/>
      <c r="G175" s="11"/>
      <c r="H175" s="12" t="str">
        <f t="shared" si="2"/>
        <v/>
      </c>
    </row>
    <row r="176" spans="1:8" ht="199" customHeight="1">
      <c r="A176" s="9" t="s">
        <v>358</v>
      </c>
      <c r="B176" s="9" t="s">
        <v>51</v>
      </c>
      <c r="C176" s="9" t="s">
        <v>180</v>
      </c>
      <c r="D176" s="10"/>
      <c r="E176" s="10"/>
      <c r="F176" s="10"/>
      <c r="G176" s="11"/>
      <c r="H176" s="12" t="str">
        <f t="shared" si="2"/>
        <v/>
      </c>
    </row>
    <row r="177" spans="1:8" ht="173" customHeight="1">
      <c r="A177" s="9" t="s">
        <v>359</v>
      </c>
      <c r="B177" s="9" t="s">
        <v>58</v>
      </c>
      <c r="C177" s="9" t="s">
        <v>360</v>
      </c>
      <c r="D177" s="10"/>
      <c r="E177" s="10"/>
      <c r="F177" s="10"/>
      <c r="G177" s="11"/>
      <c r="H177" s="12" t="str">
        <f t="shared" si="2"/>
        <v/>
      </c>
    </row>
    <row r="178" spans="1:8" ht="173" customHeight="1">
      <c r="A178" s="9" t="s">
        <v>361</v>
      </c>
      <c r="B178" s="9" t="s">
        <v>20</v>
      </c>
      <c r="C178" s="9" t="s">
        <v>362</v>
      </c>
      <c r="D178" s="10"/>
      <c r="E178" s="10"/>
      <c r="F178" s="10"/>
      <c r="G178" s="11"/>
      <c r="H178" s="12" t="str">
        <f t="shared" si="2"/>
        <v/>
      </c>
    </row>
    <row r="179" spans="1:8" ht="82" customHeight="1">
      <c r="A179" s="9" t="s">
        <v>363</v>
      </c>
      <c r="B179" s="9" t="s">
        <v>9</v>
      </c>
      <c r="C179" s="9" t="s">
        <v>364</v>
      </c>
      <c r="D179" s="10"/>
      <c r="E179" s="10"/>
      <c r="F179" s="10"/>
      <c r="G179" s="11"/>
      <c r="H179" s="12" t="str">
        <f t="shared" si="2"/>
        <v/>
      </c>
    </row>
    <row r="180" spans="1:8" ht="108" customHeight="1">
      <c r="A180" s="9" t="s">
        <v>365</v>
      </c>
      <c r="B180" s="9" t="s">
        <v>20</v>
      </c>
      <c r="C180" s="9" t="s">
        <v>366</v>
      </c>
      <c r="D180" s="10"/>
      <c r="E180" s="10"/>
      <c r="F180" s="10"/>
      <c r="G180" s="11"/>
      <c r="H180" s="12" t="str">
        <f t="shared" si="2"/>
        <v/>
      </c>
    </row>
    <row r="181" spans="1:8" ht="173" customHeight="1">
      <c r="A181" s="9" t="s">
        <v>367</v>
      </c>
      <c r="B181" s="9" t="s">
        <v>15</v>
      </c>
      <c r="C181" s="9" t="s">
        <v>368</v>
      </c>
      <c r="D181" s="10"/>
      <c r="E181" s="10"/>
      <c r="F181" s="10"/>
      <c r="G181" s="11"/>
      <c r="H181" s="12" t="str">
        <f t="shared" si="2"/>
        <v/>
      </c>
    </row>
    <row r="182" spans="1:8" ht="160" customHeight="1">
      <c r="A182" s="9" t="s">
        <v>369</v>
      </c>
      <c r="B182" s="9" t="s">
        <v>20</v>
      </c>
      <c r="C182" s="9" t="s">
        <v>370</v>
      </c>
      <c r="D182" s="10"/>
      <c r="E182" s="10"/>
      <c r="F182" s="10"/>
      <c r="G182" s="11"/>
      <c r="H182" s="12" t="str">
        <f t="shared" si="2"/>
        <v/>
      </c>
    </row>
    <row r="183" spans="1:8" ht="186" customHeight="1">
      <c r="A183" s="9" t="s">
        <v>371</v>
      </c>
      <c r="B183" s="9" t="s">
        <v>58</v>
      </c>
      <c r="C183" s="9" t="s">
        <v>271</v>
      </c>
      <c r="D183" s="10"/>
      <c r="E183" s="10"/>
      <c r="F183" s="10"/>
      <c r="G183" s="11"/>
      <c r="H183" s="12" t="str">
        <f t="shared" si="2"/>
        <v/>
      </c>
    </row>
    <row r="184" spans="1:8" ht="160" customHeight="1">
      <c r="A184" s="9" t="s">
        <v>372</v>
      </c>
      <c r="B184" s="9" t="s">
        <v>32</v>
      </c>
      <c r="C184" s="9" t="s">
        <v>184</v>
      </c>
      <c r="D184" s="10"/>
      <c r="E184" s="10"/>
      <c r="F184" s="10"/>
      <c r="G184" s="11"/>
      <c r="H184" s="12" t="str">
        <f t="shared" si="2"/>
        <v/>
      </c>
    </row>
    <row r="185" spans="1:8" ht="173" customHeight="1">
      <c r="A185" s="9" t="s">
        <v>373</v>
      </c>
      <c r="B185" s="9" t="s">
        <v>20</v>
      </c>
      <c r="C185" s="9" t="s">
        <v>374</v>
      </c>
      <c r="D185" s="10"/>
      <c r="E185" s="10"/>
      <c r="F185" s="10"/>
      <c r="G185" s="11"/>
      <c r="H185" s="12" t="str">
        <f t="shared" si="2"/>
        <v/>
      </c>
    </row>
    <row r="186" spans="1:8" ht="212" customHeight="1">
      <c r="A186" s="9" t="s">
        <v>375</v>
      </c>
      <c r="B186" s="9" t="s">
        <v>9</v>
      </c>
      <c r="C186" s="9" t="s">
        <v>376</v>
      </c>
      <c r="D186" s="10"/>
      <c r="E186" s="10"/>
      <c r="F186" s="10"/>
      <c r="G186" s="11"/>
      <c r="H186" s="12" t="str">
        <f t="shared" si="2"/>
        <v/>
      </c>
    </row>
    <row r="187" spans="1:8" ht="186" customHeight="1">
      <c r="A187" s="9" t="s">
        <v>377</v>
      </c>
      <c r="B187" s="9" t="s">
        <v>9</v>
      </c>
      <c r="C187" s="9" t="s">
        <v>378</v>
      </c>
      <c r="D187" s="10"/>
      <c r="E187" s="10"/>
      <c r="F187" s="10"/>
      <c r="G187" s="11"/>
      <c r="H187" s="12" t="str">
        <f t="shared" si="2"/>
        <v/>
      </c>
    </row>
    <row r="188" spans="1:8" ht="186" customHeight="1">
      <c r="A188" s="9" t="s">
        <v>379</v>
      </c>
      <c r="B188" s="9" t="s">
        <v>32</v>
      </c>
      <c r="C188" s="9" t="s">
        <v>380</v>
      </c>
      <c r="D188" s="10"/>
      <c r="E188" s="10"/>
      <c r="F188" s="10"/>
      <c r="G188" s="11"/>
      <c r="H188" s="12" t="str">
        <f t="shared" si="2"/>
        <v/>
      </c>
    </row>
    <row r="189" spans="1:8" ht="160" customHeight="1">
      <c r="A189" s="9" t="s">
        <v>381</v>
      </c>
      <c r="B189" s="9" t="s">
        <v>20</v>
      </c>
      <c r="C189" s="9" t="s">
        <v>382</v>
      </c>
      <c r="D189" s="10"/>
      <c r="E189" s="10"/>
      <c r="F189" s="10"/>
      <c r="G189" s="11"/>
      <c r="H189" s="12" t="str">
        <f t="shared" si="2"/>
        <v/>
      </c>
    </row>
    <row r="190" spans="1:8" ht="212" customHeight="1">
      <c r="A190" s="9" t="s">
        <v>383</v>
      </c>
      <c r="B190" s="9" t="s">
        <v>15</v>
      </c>
      <c r="C190" s="9" t="s">
        <v>384</v>
      </c>
      <c r="D190" s="10"/>
      <c r="E190" s="10"/>
      <c r="F190" s="10"/>
      <c r="G190" s="11"/>
      <c r="H190" s="12" t="str">
        <f t="shared" si="2"/>
        <v/>
      </c>
    </row>
    <row r="191" spans="1:8" ht="69" customHeight="1">
      <c r="A191" s="9" t="s">
        <v>385</v>
      </c>
      <c r="B191" s="9" t="s">
        <v>32</v>
      </c>
      <c r="C191" s="9" t="s">
        <v>241</v>
      </c>
      <c r="D191" s="10"/>
      <c r="E191" s="10"/>
      <c r="F191" s="10"/>
      <c r="G191" s="11"/>
      <c r="H191" s="12" t="str">
        <f t="shared" si="2"/>
        <v/>
      </c>
    </row>
    <row r="192" spans="1:8" ht="186" customHeight="1">
      <c r="A192" s="9" t="s">
        <v>386</v>
      </c>
      <c r="B192" s="9" t="s">
        <v>58</v>
      </c>
      <c r="C192" s="9" t="s">
        <v>387</v>
      </c>
      <c r="D192" s="10"/>
      <c r="E192" s="10"/>
      <c r="F192" s="10"/>
      <c r="G192" s="11"/>
      <c r="H192" s="12" t="str">
        <f t="shared" si="2"/>
        <v/>
      </c>
    </row>
    <row r="193" spans="1:8" ht="160" customHeight="1">
      <c r="A193" s="9" t="s">
        <v>388</v>
      </c>
      <c r="B193" s="9" t="s">
        <v>12</v>
      </c>
      <c r="C193" s="9" t="s">
        <v>56</v>
      </c>
      <c r="D193" s="10"/>
      <c r="E193" s="10"/>
      <c r="F193" s="10"/>
      <c r="G193" s="11"/>
      <c r="H193" s="12" t="str">
        <f t="shared" si="2"/>
        <v/>
      </c>
    </row>
    <row r="194" spans="1:8" ht="95" customHeight="1">
      <c r="A194" s="9" t="s">
        <v>389</v>
      </c>
      <c r="B194" s="9" t="s">
        <v>20</v>
      </c>
      <c r="C194" s="9" t="s">
        <v>390</v>
      </c>
      <c r="D194" s="10"/>
      <c r="E194" s="10"/>
      <c r="F194" s="10"/>
      <c r="G194" s="11"/>
      <c r="H194" s="12" t="str">
        <f t="shared" ref="H194:H221" si="3">IF(D194="Hawkish",1,IF(D194="Dovish",-1,IF(D194="Neutral",0,"")))</f>
        <v/>
      </c>
    </row>
    <row r="195" spans="1:8" ht="121" customHeight="1">
      <c r="A195" s="9" t="s">
        <v>391</v>
      </c>
      <c r="B195" s="9" t="s">
        <v>157</v>
      </c>
      <c r="C195" s="9" t="s">
        <v>392</v>
      </c>
      <c r="D195" s="10"/>
      <c r="E195" s="10"/>
      <c r="F195" s="10"/>
      <c r="G195" s="11"/>
      <c r="H195" s="12" t="str">
        <f t="shared" si="3"/>
        <v/>
      </c>
    </row>
    <row r="196" spans="1:8" ht="160" customHeight="1">
      <c r="A196" s="9" t="s">
        <v>393</v>
      </c>
      <c r="B196" s="9" t="s">
        <v>58</v>
      </c>
      <c r="C196" s="9" t="s">
        <v>394</v>
      </c>
      <c r="D196" s="10"/>
      <c r="E196" s="10"/>
      <c r="F196" s="10"/>
      <c r="G196" s="11"/>
      <c r="H196" s="12" t="str">
        <f t="shared" si="3"/>
        <v/>
      </c>
    </row>
    <row r="197" spans="1:8" ht="108" customHeight="1">
      <c r="A197" s="9" t="s">
        <v>395</v>
      </c>
      <c r="B197" s="9" t="s">
        <v>23</v>
      </c>
      <c r="C197" s="9" t="s">
        <v>133</v>
      </c>
      <c r="D197" s="10"/>
      <c r="E197" s="10"/>
      <c r="F197" s="10"/>
      <c r="G197" s="11"/>
      <c r="H197" s="12" t="str">
        <f t="shared" si="3"/>
        <v/>
      </c>
    </row>
    <row r="198" spans="1:8" ht="147" customHeight="1">
      <c r="A198" s="9" t="s">
        <v>396</v>
      </c>
      <c r="B198" s="9" t="s">
        <v>9</v>
      </c>
      <c r="C198" s="9" t="s">
        <v>397</v>
      </c>
      <c r="D198" s="10"/>
      <c r="E198" s="10"/>
      <c r="F198" s="10"/>
      <c r="G198" s="11"/>
      <c r="H198" s="12" t="str">
        <f t="shared" si="3"/>
        <v/>
      </c>
    </row>
    <row r="199" spans="1:8" ht="134" customHeight="1">
      <c r="A199" s="9" t="s">
        <v>398</v>
      </c>
      <c r="B199" s="9" t="s">
        <v>20</v>
      </c>
      <c r="C199" s="9" t="s">
        <v>399</v>
      </c>
      <c r="D199" s="10"/>
      <c r="E199" s="10"/>
      <c r="F199" s="10"/>
      <c r="G199" s="11"/>
      <c r="H199" s="12" t="str">
        <f t="shared" si="3"/>
        <v/>
      </c>
    </row>
    <row r="200" spans="1:8" ht="173" customHeight="1">
      <c r="A200" s="9" t="s">
        <v>400</v>
      </c>
      <c r="B200" s="9" t="s">
        <v>9</v>
      </c>
      <c r="C200" s="9" t="s">
        <v>401</v>
      </c>
      <c r="D200" s="10"/>
      <c r="E200" s="10"/>
      <c r="F200" s="10"/>
      <c r="G200" s="11"/>
      <c r="H200" s="12" t="str">
        <f t="shared" si="3"/>
        <v/>
      </c>
    </row>
    <row r="201" spans="1:8" ht="160" customHeight="1">
      <c r="A201" s="9" t="s">
        <v>402</v>
      </c>
      <c r="B201" s="9" t="s">
        <v>15</v>
      </c>
      <c r="C201" s="9" t="s">
        <v>403</v>
      </c>
      <c r="D201" s="10"/>
      <c r="E201" s="10"/>
      <c r="F201" s="10"/>
      <c r="G201" s="11"/>
      <c r="H201" s="12" t="str">
        <f t="shared" si="3"/>
        <v/>
      </c>
    </row>
    <row r="202" spans="1:8" ht="186" customHeight="1">
      <c r="A202" s="9" t="s">
        <v>404</v>
      </c>
      <c r="B202" s="9" t="s">
        <v>9</v>
      </c>
      <c r="C202" s="9" t="s">
        <v>405</v>
      </c>
      <c r="D202" s="10"/>
      <c r="E202" s="10"/>
      <c r="F202" s="10"/>
      <c r="G202" s="11"/>
      <c r="H202" s="12" t="str">
        <f t="shared" si="3"/>
        <v/>
      </c>
    </row>
    <row r="203" spans="1:8" ht="147" customHeight="1">
      <c r="A203" s="9" t="s">
        <v>406</v>
      </c>
      <c r="B203" s="9" t="s">
        <v>20</v>
      </c>
      <c r="C203" s="9" t="s">
        <v>407</v>
      </c>
      <c r="D203" s="10"/>
      <c r="E203" s="10"/>
      <c r="F203" s="10"/>
      <c r="G203" s="11"/>
      <c r="H203" s="12" t="str">
        <f t="shared" si="3"/>
        <v/>
      </c>
    </row>
    <row r="204" spans="1:8" ht="173" customHeight="1">
      <c r="A204" s="9" t="s">
        <v>408</v>
      </c>
      <c r="B204" s="9" t="s">
        <v>46</v>
      </c>
      <c r="C204" s="9" t="s">
        <v>135</v>
      </c>
      <c r="D204" s="10"/>
      <c r="E204" s="10"/>
      <c r="F204" s="10"/>
      <c r="G204" s="11"/>
      <c r="H204" s="12" t="str">
        <f t="shared" si="3"/>
        <v/>
      </c>
    </row>
    <row r="205" spans="1:8" ht="199" customHeight="1">
      <c r="A205" s="9" t="s">
        <v>409</v>
      </c>
      <c r="B205" s="9" t="s">
        <v>20</v>
      </c>
      <c r="C205" s="9" t="s">
        <v>410</v>
      </c>
      <c r="D205" s="10"/>
      <c r="E205" s="10"/>
      <c r="F205" s="10"/>
      <c r="G205" s="11"/>
      <c r="H205" s="12" t="str">
        <f t="shared" si="3"/>
        <v/>
      </c>
    </row>
    <row r="206" spans="1:8" ht="147" customHeight="1">
      <c r="A206" s="9" t="s">
        <v>411</v>
      </c>
      <c r="B206" s="9" t="s">
        <v>46</v>
      </c>
      <c r="C206" s="9" t="s">
        <v>297</v>
      </c>
      <c r="D206" s="10"/>
      <c r="E206" s="10"/>
      <c r="F206" s="10"/>
      <c r="G206" s="11"/>
      <c r="H206" s="12" t="str">
        <f t="shared" si="3"/>
        <v/>
      </c>
    </row>
    <row r="207" spans="1:8" ht="134" customHeight="1">
      <c r="A207" s="9" t="s">
        <v>412</v>
      </c>
      <c r="B207" s="9" t="s">
        <v>58</v>
      </c>
      <c r="C207" s="9" t="s">
        <v>413</v>
      </c>
      <c r="D207" s="10"/>
      <c r="E207" s="10"/>
      <c r="F207" s="10"/>
      <c r="G207" s="11"/>
      <c r="H207" s="12" t="str">
        <f t="shared" si="3"/>
        <v/>
      </c>
    </row>
    <row r="208" spans="1:8" ht="199" customHeight="1">
      <c r="A208" s="9" t="s">
        <v>414</v>
      </c>
      <c r="B208" s="9" t="s">
        <v>12</v>
      </c>
      <c r="C208" s="9" t="s">
        <v>415</v>
      </c>
      <c r="D208" s="10"/>
      <c r="E208" s="10"/>
      <c r="F208" s="10"/>
      <c r="G208" s="11"/>
      <c r="H208" s="12" t="str">
        <f t="shared" si="3"/>
        <v/>
      </c>
    </row>
    <row r="209" spans="1:8" ht="173" customHeight="1">
      <c r="A209" s="9" t="s">
        <v>416</v>
      </c>
      <c r="B209" s="9" t="s">
        <v>9</v>
      </c>
      <c r="C209" s="9" t="s">
        <v>417</v>
      </c>
      <c r="D209" s="10"/>
      <c r="E209" s="10"/>
      <c r="F209" s="10"/>
      <c r="G209" s="11"/>
      <c r="H209" s="12" t="str">
        <f t="shared" si="3"/>
        <v/>
      </c>
    </row>
    <row r="210" spans="1:8" ht="134" customHeight="1">
      <c r="A210" s="9" t="s">
        <v>418</v>
      </c>
      <c r="B210" s="9" t="s">
        <v>46</v>
      </c>
      <c r="C210" s="9" t="s">
        <v>419</v>
      </c>
      <c r="D210" s="10"/>
      <c r="E210" s="10"/>
      <c r="F210" s="10"/>
      <c r="G210" s="11"/>
      <c r="H210" s="12" t="str">
        <f t="shared" si="3"/>
        <v/>
      </c>
    </row>
    <row r="211" spans="1:8" ht="186" customHeight="1">
      <c r="A211" s="9" t="s">
        <v>420</v>
      </c>
      <c r="B211" s="9" t="s">
        <v>51</v>
      </c>
      <c r="C211" s="9" t="s">
        <v>421</v>
      </c>
      <c r="D211" s="10"/>
      <c r="E211" s="10"/>
      <c r="F211" s="10"/>
      <c r="G211" s="11"/>
      <c r="H211" s="12" t="str">
        <f t="shared" si="3"/>
        <v/>
      </c>
    </row>
    <row r="212" spans="1:8" ht="108" customHeight="1">
      <c r="A212" s="9" t="s">
        <v>422</v>
      </c>
      <c r="B212" s="9" t="s">
        <v>23</v>
      </c>
      <c r="C212" s="9" t="s">
        <v>423</v>
      </c>
      <c r="D212" s="10"/>
      <c r="E212" s="10"/>
      <c r="F212" s="10"/>
      <c r="G212" s="11"/>
      <c r="H212" s="12" t="str">
        <f t="shared" si="3"/>
        <v/>
      </c>
    </row>
    <row r="213" spans="1:8" ht="186" customHeight="1">
      <c r="A213" s="9" t="s">
        <v>424</v>
      </c>
      <c r="B213" s="9" t="s">
        <v>157</v>
      </c>
      <c r="C213" s="9" t="s">
        <v>425</v>
      </c>
      <c r="D213" s="10"/>
      <c r="E213" s="10"/>
      <c r="F213" s="10"/>
      <c r="G213" s="11"/>
      <c r="H213" s="12" t="str">
        <f t="shared" si="3"/>
        <v/>
      </c>
    </row>
    <row r="214" spans="1:8" ht="95" customHeight="1">
      <c r="A214" s="9" t="s">
        <v>426</v>
      </c>
      <c r="B214" s="9" t="s">
        <v>58</v>
      </c>
      <c r="C214" s="9" t="s">
        <v>427</v>
      </c>
      <c r="D214" s="10"/>
      <c r="E214" s="10"/>
      <c r="F214" s="10"/>
      <c r="G214" s="11"/>
      <c r="H214" s="12" t="str">
        <f t="shared" si="3"/>
        <v/>
      </c>
    </row>
    <row r="215" spans="1:8" ht="199" customHeight="1">
      <c r="A215" s="9" t="s">
        <v>428</v>
      </c>
      <c r="B215" s="9" t="s">
        <v>15</v>
      </c>
      <c r="C215" s="9" t="s">
        <v>153</v>
      </c>
      <c r="D215" s="10"/>
      <c r="E215" s="10"/>
      <c r="F215" s="10"/>
      <c r="G215" s="11"/>
      <c r="H215" s="12" t="str">
        <f t="shared" si="3"/>
        <v/>
      </c>
    </row>
    <row r="216" spans="1:8" ht="147" customHeight="1">
      <c r="A216" s="9" t="s">
        <v>429</v>
      </c>
      <c r="B216" s="9" t="s">
        <v>20</v>
      </c>
      <c r="C216" s="9" t="s">
        <v>42</v>
      </c>
      <c r="D216" s="10"/>
      <c r="E216" s="10"/>
      <c r="F216" s="10"/>
      <c r="G216" s="11"/>
      <c r="H216" s="12" t="str">
        <f t="shared" si="3"/>
        <v/>
      </c>
    </row>
    <row r="217" spans="1:8" ht="95" customHeight="1">
      <c r="A217" s="9" t="s">
        <v>430</v>
      </c>
      <c r="B217" s="9" t="s">
        <v>23</v>
      </c>
      <c r="C217" s="9" t="s">
        <v>431</v>
      </c>
      <c r="D217" s="10"/>
      <c r="E217" s="10"/>
      <c r="F217" s="10"/>
      <c r="G217" s="11"/>
      <c r="H217" s="12" t="str">
        <f t="shared" si="3"/>
        <v/>
      </c>
    </row>
    <row r="218" spans="1:8" ht="121" customHeight="1">
      <c r="A218" s="9" t="s">
        <v>432</v>
      </c>
      <c r="B218" s="9" t="s">
        <v>46</v>
      </c>
      <c r="C218" s="9" t="s">
        <v>433</v>
      </c>
      <c r="D218" s="10"/>
      <c r="E218" s="10"/>
      <c r="F218" s="10"/>
      <c r="G218" s="11"/>
      <c r="H218" s="12" t="str">
        <f t="shared" si="3"/>
        <v/>
      </c>
    </row>
    <row r="219" spans="1:8" ht="173" customHeight="1">
      <c r="A219" s="9" t="s">
        <v>434</v>
      </c>
      <c r="B219" s="9" t="s">
        <v>20</v>
      </c>
      <c r="C219" s="9" t="s">
        <v>435</v>
      </c>
      <c r="D219" s="10"/>
      <c r="E219" s="10"/>
      <c r="F219" s="10"/>
      <c r="G219" s="11"/>
      <c r="H219" s="12" t="str">
        <f t="shared" si="3"/>
        <v/>
      </c>
    </row>
    <row r="220" spans="1:8" ht="134" customHeight="1">
      <c r="A220" s="9" t="s">
        <v>436</v>
      </c>
      <c r="B220" s="9" t="s">
        <v>9</v>
      </c>
      <c r="C220" s="9" t="s">
        <v>437</v>
      </c>
      <c r="D220" s="10"/>
      <c r="E220" s="10"/>
      <c r="F220" s="10"/>
      <c r="G220" s="11"/>
      <c r="H220" s="12" t="str">
        <f t="shared" si="3"/>
        <v/>
      </c>
    </row>
    <row r="221" spans="1:8" ht="108" customHeight="1">
      <c r="A221" s="9" t="s">
        <v>438</v>
      </c>
      <c r="B221" s="9" t="s">
        <v>32</v>
      </c>
      <c r="C221" s="9" t="s">
        <v>439</v>
      </c>
      <c r="D221" s="10"/>
      <c r="E221" s="10"/>
      <c r="F221" s="10"/>
      <c r="G221" s="11"/>
      <c r="H221" s="12" t="str">
        <f t="shared" si="3"/>
        <v/>
      </c>
    </row>
  </sheetData>
  <autoFilter ref="A1:H221" xr:uid="{00000000-0009-0000-0000-000001000000}"/>
  <phoneticPr fontId="7" type="noConversion"/>
  <dataValidations count="3">
    <dataValidation type="list" allowBlank="1" showErrorMessage="1" errorTitle="Invalid entry" error="Please pick a value from the drop-down list." sqref="D2:D221" xr:uid="{00000000-0002-0000-0100-000000000000}">
      <formula1>"Hawkish,Neutral,Dovish"</formula1>
    </dataValidation>
    <dataValidation type="list" allowBlank="1" showErrorMessage="1" errorTitle="Invalid entry" error="Please pick a value from the drop-down list." sqref="E2:E221" xr:uid="{00000000-0002-0000-0100-000001000000}">
      <formula1>"1,2,3"</formula1>
    </dataValidation>
    <dataValidation type="list" allowBlank="1" showErrorMessage="1" errorTitle="Invalid entry" error="Please pick a value from the drop-down list." sqref="F2:F221" xr:uid="{00000000-0002-0000-0100-000002000000}">
      <formula1>"Y,N"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3"/>
  <sheetViews>
    <sheetView workbookViewId="0"/>
  </sheetViews>
  <sheetFormatPr baseColWidth="10" defaultColWidth="8.83203125" defaultRowHeight="17"/>
  <sheetData>
    <row r="1" spans="1:13">
      <c r="A1" s="5" t="s">
        <v>481</v>
      </c>
      <c r="B1" s="5" t="s">
        <v>482</v>
      </c>
      <c r="C1" s="5" t="s">
        <v>483</v>
      </c>
      <c r="D1" s="5" t="s">
        <v>484</v>
      </c>
      <c r="E1" s="5" t="s">
        <v>485</v>
      </c>
      <c r="F1" s="5" t="s">
        <v>486</v>
      </c>
      <c r="G1" s="5" t="s">
        <v>487</v>
      </c>
      <c r="H1" s="5" t="s">
        <v>488</v>
      </c>
      <c r="I1" s="5" t="s">
        <v>489</v>
      </c>
      <c r="J1" s="5" t="s">
        <v>490</v>
      </c>
      <c r="K1" s="5" t="s">
        <v>491</v>
      </c>
      <c r="L1" s="5" t="s">
        <v>492</v>
      </c>
      <c r="M1" s="5" t="s">
        <v>493</v>
      </c>
    </row>
    <row r="2" spans="1:13">
      <c r="A2" s="13" t="s">
        <v>8</v>
      </c>
      <c r="B2" s="13"/>
      <c r="C2" s="13" t="s">
        <v>494</v>
      </c>
      <c r="D2" s="13" t="s">
        <v>495</v>
      </c>
      <c r="E2" s="13" t="s">
        <v>496</v>
      </c>
      <c r="F2" s="13" t="s">
        <v>497</v>
      </c>
      <c r="G2" s="13">
        <v>2</v>
      </c>
      <c r="H2" s="13" t="s">
        <v>498</v>
      </c>
      <c r="I2" s="13" t="s">
        <v>499</v>
      </c>
      <c r="J2" s="13">
        <v>122</v>
      </c>
      <c r="K2" s="13" t="s">
        <v>500</v>
      </c>
      <c r="L2" s="13">
        <v>0</v>
      </c>
      <c r="M2" s="13">
        <v>6.75</v>
      </c>
    </row>
    <row r="3" spans="1:13">
      <c r="A3" s="13" t="s">
        <v>11</v>
      </c>
      <c r="B3" s="13"/>
      <c r="C3" s="13" t="s">
        <v>501</v>
      </c>
      <c r="D3" s="13" t="s">
        <v>495</v>
      </c>
      <c r="E3" s="13" t="s">
        <v>502</v>
      </c>
      <c r="F3" s="13" t="s">
        <v>497</v>
      </c>
      <c r="G3" s="13">
        <v>7</v>
      </c>
      <c r="H3" s="13" t="s">
        <v>503</v>
      </c>
      <c r="I3" s="13" t="s">
        <v>504</v>
      </c>
      <c r="J3" s="13">
        <v>136</v>
      </c>
      <c r="K3" s="13" t="s">
        <v>500</v>
      </c>
      <c r="L3" s="13">
        <v>0</v>
      </c>
      <c r="M3" s="13">
        <v>7.5</v>
      </c>
    </row>
    <row r="4" spans="1:13">
      <c r="A4" s="13" t="s">
        <v>14</v>
      </c>
      <c r="B4" s="13"/>
      <c r="C4" s="13" t="s">
        <v>505</v>
      </c>
      <c r="D4" s="13" t="s">
        <v>495</v>
      </c>
      <c r="E4" s="13" t="s">
        <v>506</v>
      </c>
      <c r="F4" s="13" t="s">
        <v>507</v>
      </c>
      <c r="G4" s="13">
        <v>3</v>
      </c>
      <c r="H4" s="13" t="s">
        <v>508</v>
      </c>
      <c r="I4" s="13" t="s">
        <v>509</v>
      </c>
      <c r="J4" s="13">
        <v>125</v>
      </c>
      <c r="K4" s="13" t="s">
        <v>510</v>
      </c>
      <c r="L4" s="13">
        <v>25</v>
      </c>
      <c r="M4" s="13">
        <v>5.75</v>
      </c>
    </row>
    <row r="5" spans="1:13">
      <c r="A5" s="13" t="s">
        <v>17</v>
      </c>
      <c r="B5" s="13"/>
      <c r="C5" s="13" t="s">
        <v>511</v>
      </c>
      <c r="D5" s="13" t="s">
        <v>495</v>
      </c>
      <c r="E5" s="13" t="s">
        <v>512</v>
      </c>
      <c r="F5" s="13" t="s">
        <v>513</v>
      </c>
      <c r="G5" s="13">
        <v>2</v>
      </c>
      <c r="H5" s="13" t="s">
        <v>498</v>
      </c>
      <c r="I5" s="13" t="s">
        <v>514</v>
      </c>
      <c r="J5" s="13">
        <v>339</v>
      </c>
      <c r="K5" s="13" t="s">
        <v>500</v>
      </c>
      <c r="L5" s="13">
        <v>0</v>
      </c>
      <c r="M5" s="13">
        <v>6.25</v>
      </c>
    </row>
    <row r="6" spans="1:13">
      <c r="A6" s="13" t="s">
        <v>19</v>
      </c>
      <c r="B6" s="13"/>
      <c r="C6" s="13" t="s">
        <v>515</v>
      </c>
      <c r="D6" s="13" t="s">
        <v>495</v>
      </c>
      <c r="E6" s="13" t="s">
        <v>516</v>
      </c>
      <c r="F6" s="13" t="s">
        <v>517</v>
      </c>
      <c r="G6" s="13">
        <v>6</v>
      </c>
      <c r="H6" s="13" t="s">
        <v>518</v>
      </c>
      <c r="I6" s="13" t="s">
        <v>519</v>
      </c>
      <c r="J6" s="13">
        <v>94</v>
      </c>
      <c r="K6" s="13" t="s">
        <v>510</v>
      </c>
      <c r="L6" s="13">
        <v>25</v>
      </c>
      <c r="M6" s="13">
        <v>8.5</v>
      </c>
    </row>
    <row r="7" spans="1:13">
      <c r="A7" s="13" t="s">
        <v>22</v>
      </c>
      <c r="B7" s="13"/>
      <c r="C7" s="13" t="s">
        <v>520</v>
      </c>
      <c r="D7" s="13" t="s">
        <v>495</v>
      </c>
      <c r="E7" s="13" t="s">
        <v>521</v>
      </c>
      <c r="F7" s="13" t="s">
        <v>517</v>
      </c>
      <c r="G7" s="13">
        <v>3</v>
      </c>
      <c r="H7" s="13" t="s">
        <v>522</v>
      </c>
      <c r="I7" s="13" t="s">
        <v>523</v>
      </c>
      <c r="J7" s="13">
        <v>135</v>
      </c>
      <c r="K7" s="13" t="s">
        <v>500</v>
      </c>
      <c r="L7" s="13">
        <v>0</v>
      </c>
      <c r="M7" s="13">
        <v>8</v>
      </c>
    </row>
    <row r="8" spans="1:13">
      <c r="A8" s="13" t="s">
        <v>25</v>
      </c>
      <c r="B8" s="13"/>
      <c r="C8" s="13" t="s">
        <v>524</v>
      </c>
      <c r="D8" s="13" t="s">
        <v>495</v>
      </c>
      <c r="E8" s="13" t="s">
        <v>525</v>
      </c>
      <c r="F8" s="13" t="s">
        <v>513</v>
      </c>
      <c r="G8" s="13">
        <v>5</v>
      </c>
      <c r="H8" s="13" t="s">
        <v>518</v>
      </c>
      <c r="I8" s="13" t="s">
        <v>526</v>
      </c>
      <c r="J8" s="13">
        <v>159</v>
      </c>
      <c r="K8" s="13" t="s">
        <v>527</v>
      </c>
      <c r="L8" s="13">
        <v>25</v>
      </c>
      <c r="M8" s="13">
        <v>6</v>
      </c>
    </row>
    <row r="9" spans="1:13">
      <c r="A9" s="13" t="s">
        <v>27</v>
      </c>
      <c r="B9" s="13"/>
      <c r="C9" s="13" t="s">
        <v>528</v>
      </c>
      <c r="D9" s="13" t="s">
        <v>495</v>
      </c>
      <c r="E9" s="13" t="s">
        <v>529</v>
      </c>
      <c r="F9" s="13" t="s">
        <v>517</v>
      </c>
      <c r="G9" s="13">
        <v>4</v>
      </c>
      <c r="H9" s="13" t="s">
        <v>522</v>
      </c>
      <c r="I9" s="13" t="s">
        <v>530</v>
      </c>
      <c r="J9" s="13">
        <v>450</v>
      </c>
      <c r="K9" s="13" t="s">
        <v>527</v>
      </c>
      <c r="L9" s="13">
        <v>50</v>
      </c>
      <c r="M9" s="13">
        <v>11.75</v>
      </c>
    </row>
    <row r="10" spans="1:13">
      <c r="A10" s="13" t="s">
        <v>29</v>
      </c>
      <c r="B10" s="13"/>
      <c r="C10" s="13" t="s">
        <v>531</v>
      </c>
      <c r="D10" s="13" t="s">
        <v>495</v>
      </c>
      <c r="E10" s="13" t="s">
        <v>532</v>
      </c>
      <c r="F10" s="13" t="s">
        <v>507</v>
      </c>
      <c r="G10" s="13">
        <v>5</v>
      </c>
      <c r="H10" s="13" t="s">
        <v>522</v>
      </c>
      <c r="I10" s="13" t="s">
        <v>533</v>
      </c>
      <c r="J10" s="13">
        <v>170</v>
      </c>
      <c r="K10" s="13" t="s">
        <v>500</v>
      </c>
      <c r="L10" s="13">
        <v>0</v>
      </c>
      <c r="M10" s="13">
        <v>4</v>
      </c>
    </row>
    <row r="11" spans="1:13">
      <c r="A11" s="13" t="s">
        <v>31</v>
      </c>
      <c r="B11" s="13"/>
      <c r="C11" s="13" t="s">
        <v>534</v>
      </c>
      <c r="D11" s="13" t="s">
        <v>495</v>
      </c>
      <c r="E11" s="13" t="s">
        <v>535</v>
      </c>
      <c r="F11" s="13" t="s">
        <v>517</v>
      </c>
      <c r="G11" s="13">
        <v>1</v>
      </c>
      <c r="H11" s="13" t="s">
        <v>536</v>
      </c>
      <c r="I11" s="13" t="s">
        <v>537</v>
      </c>
      <c r="J11" s="13">
        <v>26</v>
      </c>
      <c r="K11" s="13" t="s">
        <v>500</v>
      </c>
      <c r="L11" s="13">
        <v>0</v>
      </c>
      <c r="M11" s="13">
        <v>8</v>
      </c>
    </row>
    <row r="12" spans="1:13">
      <c r="A12" s="13" t="s">
        <v>34</v>
      </c>
      <c r="B12" s="13"/>
      <c r="C12" s="13" t="s">
        <v>538</v>
      </c>
      <c r="D12" s="13" t="s">
        <v>495</v>
      </c>
      <c r="E12" s="13" t="s">
        <v>539</v>
      </c>
      <c r="F12" s="13" t="s">
        <v>497</v>
      </c>
      <c r="G12" s="13">
        <v>5</v>
      </c>
      <c r="H12" s="13" t="s">
        <v>522</v>
      </c>
      <c r="I12" s="13" t="s">
        <v>540</v>
      </c>
      <c r="J12" s="13">
        <v>137</v>
      </c>
      <c r="K12" s="13" t="s">
        <v>500</v>
      </c>
      <c r="L12" s="13">
        <v>0</v>
      </c>
      <c r="M12" s="13">
        <v>7.5</v>
      </c>
    </row>
    <row r="13" spans="1:13">
      <c r="A13" s="13" t="s">
        <v>36</v>
      </c>
      <c r="B13" s="13"/>
      <c r="C13" s="13" t="s">
        <v>541</v>
      </c>
      <c r="D13" s="13" t="s">
        <v>495</v>
      </c>
      <c r="E13" s="13" t="s">
        <v>542</v>
      </c>
      <c r="F13" s="13" t="s">
        <v>497</v>
      </c>
      <c r="G13" s="13">
        <v>2</v>
      </c>
      <c r="H13" s="13" t="s">
        <v>543</v>
      </c>
      <c r="I13" s="13" t="s">
        <v>544</v>
      </c>
      <c r="J13" s="13">
        <v>56</v>
      </c>
      <c r="K13" s="13" t="s">
        <v>527</v>
      </c>
      <c r="L13" s="13">
        <v>25</v>
      </c>
      <c r="M13" s="13">
        <v>7</v>
      </c>
    </row>
    <row r="14" spans="1:13">
      <c r="A14" s="13" t="s">
        <v>39</v>
      </c>
      <c r="B14" s="13"/>
      <c r="C14" s="13" t="s">
        <v>545</v>
      </c>
      <c r="D14" s="13" t="s">
        <v>495</v>
      </c>
      <c r="E14" s="13" t="s">
        <v>546</v>
      </c>
      <c r="F14" s="13" t="s">
        <v>513</v>
      </c>
      <c r="G14" s="13">
        <v>7</v>
      </c>
      <c r="H14" s="13" t="s">
        <v>543</v>
      </c>
      <c r="I14" s="13" t="s">
        <v>547</v>
      </c>
      <c r="J14" s="13">
        <v>194</v>
      </c>
      <c r="K14" s="13" t="s">
        <v>500</v>
      </c>
      <c r="L14" s="13">
        <v>0</v>
      </c>
      <c r="M14" s="13">
        <v>4.75</v>
      </c>
    </row>
    <row r="15" spans="1:13">
      <c r="A15" s="13" t="s">
        <v>41</v>
      </c>
      <c r="B15" s="13"/>
      <c r="C15" s="13" t="s">
        <v>548</v>
      </c>
      <c r="D15" s="13" t="s">
        <v>495</v>
      </c>
      <c r="E15" s="13" t="s">
        <v>549</v>
      </c>
      <c r="F15" s="13" t="s">
        <v>507</v>
      </c>
      <c r="G15" s="13">
        <v>6</v>
      </c>
      <c r="H15" s="13" t="s">
        <v>518</v>
      </c>
      <c r="I15" s="13" t="s">
        <v>550</v>
      </c>
      <c r="J15" s="13">
        <v>131</v>
      </c>
      <c r="K15" s="13" t="s">
        <v>527</v>
      </c>
      <c r="L15" s="13">
        <v>25</v>
      </c>
      <c r="M15" s="13">
        <v>4.75</v>
      </c>
    </row>
    <row r="16" spans="1:13">
      <c r="A16" s="13" t="s">
        <v>43</v>
      </c>
      <c r="B16" s="13"/>
      <c r="C16" s="13" t="s">
        <v>551</v>
      </c>
      <c r="D16" s="13" t="s">
        <v>495</v>
      </c>
      <c r="E16" s="13" t="s">
        <v>552</v>
      </c>
      <c r="F16" s="13" t="s">
        <v>517</v>
      </c>
      <c r="G16" s="13">
        <v>3</v>
      </c>
      <c r="H16" s="13" t="s">
        <v>522</v>
      </c>
      <c r="I16" s="13" t="s">
        <v>553</v>
      </c>
      <c r="J16" s="13">
        <v>99</v>
      </c>
      <c r="K16" s="13" t="s">
        <v>500</v>
      </c>
      <c r="L16" s="13">
        <v>0</v>
      </c>
      <c r="M16" s="13">
        <v>6.75</v>
      </c>
    </row>
    <row r="17" spans="1:13">
      <c r="A17" s="13" t="s">
        <v>45</v>
      </c>
      <c r="B17" s="13"/>
      <c r="C17" s="13" t="s">
        <v>554</v>
      </c>
      <c r="D17" s="13" t="s">
        <v>495</v>
      </c>
      <c r="E17" s="13" t="s">
        <v>555</v>
      </c>
      <c r="F17" s="13" t="s">
        <v>513</v>
      </c>
      <c r="G17" s="13">
        <v>12</v>
      </c>
      <c r="H17" s="13" t="s">
        <v>556</v>
      </c>
      <c r="I17" s="13" t="s">
        <v>557</v>
      </c>
      <c r="J17" s="13">
        <v>264</v>
      </c>
      <c r="K17" s="13" t="s">
        <v>500</v>
      </c>
      <c r="L17" s="13">
        <v>0</v>
      </c>
      <c r="M17" s="13">
        <v>4.75</v>
      </c>
    </row>
    <row r="18" spans="1:13">
      <c r="A18" s="13" t="s">
        <v>48</v>
      </c>
      <c r="B18" s="13"/>
      <c r="C18" s="13" t="s">
        <v>558</v>
      </c>
      <c r="D18" s="13" t="s">
        <v>495</v>
      </c>
      <c r="E18" s="13" t="s">
        <v>559</v>
      </c>
      <c r="F18" s="13" t="s">
        <v>517</v>
      </c>
      <c r="G18" s="13">
        <v>6</v>
      </c>
      <c r="H18" s="13" t="s">
        <v>518</v>
      </c>
      <c r="I18" s="13" t="s">
        <v>560</v>
      </c>
      <c r="J18" s="13">
        <v>40</v>
      </c>
      <c r="K18" s="13" t="s">
        <v>500</v>
      </c>
      <c r="L18" s="13">
        <v>0</v>
      </c>
      <c r="M18" s="13">
        <v>6.5</v>
      </c>
    </row>
    <row r="19" spans="1:13">
      <c r="A19" s="13" t="s">
        <v>50</v>
      </c>
      <c r="B19" s="13"/>
      <c r="C19" s="13" t="s">
        <v>561</v>
      </c>
      <c r="D19" s="13" t="s">
        <v>495</v>
      </c>
      <c r="E19" s="13" t="s">
        <v>562</v>
      </c>
      <c r="F19" s="13" t="s">
        <v>513</v>
      </c>
      <c r="G19" s="13">
        <v>12</v>
      </c>
      <c r="H19" s="13" t="s">
        <v>563</v>
      </c>
      <c r="I19" s="13" t="s">
        <v>564</v>
      </c>
      <c r="J19" s="13">
        <v>126</v>
      </c>
      <c r="K19" s="13" t="s">
        <v>500</v>
      </c>
      <c r="L19" s="13">
        <v>0</v>
      </c>
      <c r="M19" s="13">
        <v>4.75</v>
      </c>
    </row>
    <row r="20" spans="1:13">
      <c r="A20" s="13" t="s">
        <v>53</v>
      </c>
      <c r="B20" s="13"/>
      <c r="C20" s="13" t="s">
        <v>565</v>
      </c>
      <c r="D20" s="13" t="s">
        <v>495</v>
      </c>
      <c r="E20" s="13" t="s">
        <v>566</v>
      </c>
      <c r="F20" s="13" t="s">
        <v>517</v>
      </c>
      <c r="G20" s="13">
        <v>3</v>
      </c>
      <c r="H20" s="13" t="s">
        <v>518</v>
      </c>
      <c r="I20" s="13" t="s">
        <v>567</v>
      </c>
      <c r="J20" s="13">
        <v>118</v>
      </c>
      <c r="K20" s="13" t="s">
        <v>500</v>
      </c>
      <c r="L20" s="13">
        <v>0</v>
      </c>
      <c r="M20" s="13">
        <v>8.25</v>
      </c>
    </row>
    <row r="21" spans="1:13">
      <c r="A21" s="13" t="s">
        <v>55</v>
      </c>
      <c r="B21" s="13"/>
      <c r="C21" s="13" t="s">
        <v>511</v>
      </c>
      <c r="D21" s="13" t="s">
        <v>495</v>
      </c>
      <c r="E21" s="13" t="s">
        <v>512</v>
      </c>
      <c r="F21" s="13" t="s">
        <v>513</v>
      </c>
      <c r="G21" s="13">
        <v>8</v>
      </c>
      <c r="H21" s="13" t="s">
        <v>503</v>
      </c>
      <c r="I21" s="13" t="s">
        <v>568</v>
      </c>
      <c r="J21" s="13">
        <v>137</v>
      </c>
      <c r="K21" s="13" t="s">
        <v>500</v>
      </c>
      <c r="L21" s="13">
        <v>0</v>
      </c>
      <c r="M21" s="13">
        <v>6.25</v>
      </c>
    </row>
    <row r="22" spans="1:13">
      <c r="A22" s="13" t="s">
        <v>57</v>
      </c>
      <c r="B22" s="13"/>
      <c r="C22" s="13" t="s">
        <v>569</v>
      </c>
      <c r="D22" s="13" t="s">
        <v>495</v>
      </c>
      <c r="E22" s="13" t="s">
        <v>570</v>
      </c>
      <c r="F22" s="13" t="s">
        <v>507</v>
      </c>
      <c r="G22" s="13">
        <v>4</v>
      </c>
      <c r="H22" s="13" t="s">
        <v>571</v>
      </c>
      <c r="I22" s="13" t="s">
        <v>572</v>
      </c>
      <c r="J22" s="13">
        <v>216</v>
      </c>
      <c r="K22" s="13" t="s">
        <v>500</v>
      </c>
      <c r="L22" s="13">
        <v>0</v>
      </c>
      <c r="M22" s="13">
        <v>4.25</v>
      </c>
    </row>
    <row r="23" spans="1:13">
      <c r="A23" s="13" t="s">
        <v>60</v>
      </c>
      <c r="B23" s="13"/>
      <c r="C23" s="13" t="s">
        <v>573</v>
      </c>
      <c r="D23" s="13" t="s">
        <v>495</v>
      </c>
      <c r="E23" s="13" t="s">
        <v>574</v>
      </c>
      <c r="F23" s="13" t="s">
        <v>517</v>
      </c>
      <c r="G23" s="13">
        <v>5</v>
      </c>
      <c r="H23" s="13" t="s">
        <v>518</v>
      </c>
      <c r="I23" s="13" t="s">
        <v>575</v>
      </c>
      <c r="J23" s="13">
        <v>161</v>
      </c>
      <c r="K23" s="13" t="s">
        <v>500</v>
      </c>
      <c r="L23" s="13">
        <v>0</v>
      </c>
      <c r="M23" s="13">
        <v>6.75</v>
      </c>
    </row>
    <row r="24" spans="1:13">
      <c r="A24" s="13" t="s">
        <v>62</v>
      </c>
      <c r="B24" s="13"/>
      <c r="C24" s="13" t="s">
        <v>576</v>
      </c>
      <c r="D24" s="13" t="s">
        <v>495</v>
      </c>
      <c r="E24" s="13" t="s">
        <v>577</v>
      </c>
      <c r="F24" s="13" t="s">
        <v>507</v>
      </c>
      <c r="G24" s="13">
        <v>8</v>
      </c>
      <c r="H24" s="13" t="s">
        <v>543</v>
      </c>
      <c r="I24" s="13" t="s">
        <v>578</v>
      </c>
      <c r="J24" s="13">
        <v>171</v>
      </c>
      <c r="K24" s="13" t="s">
        <v>500</v>
      </c>
      <c r="L24" s="13">
        <v>0</v>
      </c>
      <c r="M24" s="13">
        <v>5</v>
      </c>
    </row>
    <row r="25" spans="1:13">
      <c r="A25" s="13" t="s">
        <v>64</v>
      </c>
      <c r="B25" s="13"/>
      <c r="C25" s="13" t="s">
        <v>579</v>
      </c>
      <c r="D25" s="13" t="s">
        <v>495</v>
      </c>
      <c r="E25" s="13" t="s">
        <v>580</v>
      </c>
      <c r="F25" s="13" t="s">
        <v>507</v>
      </c>
      <c r="G25" s="13">
        <v>6</v>
      </c>
      <c r="H25" s="13" t="s">
        <v>518</v>
      </c>
      <c r="I25" s="13" t="s">
        <v>581</v>
      </c>
      <c r="J25" s="13">
        <v>141</v>
      </c>
      <c r="K25" s="13" t="s">
        <v>500</v>
      </c>
      <c r="L25" s="13">
        <v>0</v>
      </c>
      <c r="M25" s="13">
        <v>4</v>
      </c>
    </row>
    <row r="26" spans="1:13">
      <c r="A26" s="13" t="s">
        <v>66</v>
      </c>
      <c r="B26" s="13"/>
      <c r="C26" s="13" t="s">
        <v>501</v>
      </c>
      <c r="D26" s="13" t="s">
        <v>495</v>
      </c>
      <c r="E26" s="13" t="s">
        <v>502</v>
      </c>
      <c r="F26" s="13" t="s">
        <v>497</v>
      </c>
      <c r="G26" s="13">
        <v>4</v>
      </c>
      <c r="H26" s="13" t="s">
        <v>571</v>
      </c>
      <c r="I26" s="13" t="s">
        <v>582</v>
      </c>
      <c r="J26" s="13">
        <v>162</v>
      </c>
      <c r="K26" s="13" t="s">
        <v>500</v>
      </c>
      <c r="L26" s="13">
        <v>0</v>
      </c>
      <c r="M26" s="13">
        <v>7.5</v>
      </c>
    </row>
    <row r="27" spans="1:13">
      <c r="A27" s="13" t="s">
        <v>68</v>
      </c>
      <c r="B27" s="13"/>
      <c r="C27" s="13" t="s">
        <v>583</v>
      </c>
      <c r="D27" s="13" t="s">
        <v>495</v>
      </c>
      <c r="E27" s="13" t="s">
        <v>584</v>
      </c>
      <c r="F27" s="13" t="s">
        <v>507</v>
      </c>
      <c r="G27" s="13">
        <v>3</v>
      </c>
      <c r="H27" s="13" t="s">
        <v>508</v>
      </c>
      <c r="I27" s="13" t="s">
        <v>585</v>
      </c>
      <c r="J27" s="13">
        <v>149</v>
      </c>
      <c r="K27" s="13" t="s">
        <v>527</v>
      </c>
      <c r="L27" s="13">
        <v>25</v>
      </c>
      <c r="M27" s="13">
        <v>3.75</v>
      </c>
    </row>
    <row r="28" spans="1:13">
      <c r="A28" s="13" t="s">
        <v>70</v>
      </c>
      <c r="B28" s="13"/>
      <c r="C28" s="13" t="s">
        <v>586</v>
      </c>
      <c r="D28" s="13" t="s">
        <v>495</v>
      </c>
      <c r="E28" s="13" t="s">
        <v>587</v>
      </c>
      <c r="F28" s="13" t="s">
        <v>507</v>
      </c>
      <c r="G28" s="13">
        <v>6</v>
      </c>
      <c r="H28" s="13" t="s">
        <v>518</v>
      </c>
      <c r="I28" s="13" t="s">
        <v>588</v>
      </c>
      <c r="J28" s="13">
        <v>118</v>
      </c>
      <c r="K28" s="13" t="s">
        <v>500</v>
      </c>
      <c r="L28" s="13">
        <v>0</v>
      </c>
      <c r="M28" s="13">
        <v>6</v>
      </c>
    </row>
    <row r="29" spans="1:13">
      <c r="A29" s="13" t="s">
        <v>72</v>
      </c>
      <c r="B29" s="13"/>
      <c r="C29" s="13" t="s">
        <v>589</v>
      </c>
      <c r="D29" s="13" t="s">
        <v>495</v>
      </c>
      <c r="E29" s="13" t="s">
        <v>590</v>
      </c>
      <c r="F29" s="13" t="s">
        <v>513</v>
      </c>
      <c r="G29" s="13">
        <v>1</v>
      </c>
      <c r="H29" s="13" t="s">
        <v>536</v>
      </c>
      <c r="I29" s="13" t="s">
        <v>537</v>
      </c>
      <c r="J29" s="13">
        <v>275</v>
      </c>
      <c r="K29" s="13" t="s">
        <v>500</v>
      </c>
      <c r="L29" s="13">
        <v>0</v>
      </c>
      <c r="M29" s="13">
        <v>5.75</v>
      </c>
    </row>
    <row r="30" spans="1:13">
      <c r="A30" s="13" t="s">
        <v>74</v>
      </c>
      <c r="B30" s="13"/>
      <c r="C30" s="13" t="s">
        <v>579</v>
      </c>
      <c r="D30" s="13" t="s">
        <v>495</v>
      </c>
      <c r="E30" s="13" t="s">
        <v>580</v>
      </c>
      <c r="F30" s="13" t="s">
        <v>507</v>
      </c>
      <c r="G30" s="13">
        <v>3</v>
      </c>
      <c r="H30" s="13" t="s">
        <v>563</v>
      </c>
      <c r="I30" s="13" t="s">
        <v>591</v>
      </c>
      <c r="J30" s="13">
        <v>144</v>
      </c>
      <c r="K30" s="13" t="s">
        <v>500</v>
      </c>
      <c r="L30" s="13">
        <v>0</v>
      </c>
      <c r="M30" s="13">
        <v>4</v>
      </c>
    </row>
    <row r="31" spans="1:13">
      <c r="A31" s="13" t="s">
        <v>76</v>
      </c>
      <c r="B31" s="13"/>
      <c r="C31" s="13" t="s">
        <v>592</v>
      </c>
      <c r="D31" s="13" t="s">
        <v>495</v>
      </c>
      <c r="E31" s="13" t="s">
        <v>593</v>
      </c>
      <c r="F31" s="13" t="s">
        <v>497</v>
      </c>
      <c r="G31" s="13">
        <v>3</v>
      </c>
      <c r="H31" s="13" t="s">
        <v>508</v>
      </c>
      <c r="I31" s="13" t="s">
        <v>594</v>
      </c>
      <c r="J31" s="13">
        <v>100</v>
      </c>
      <c r="K31" s="13" t="s">
        <v>500</v>
      </c>
      <c r="L31" s="13">
        <v>0</v>
      </c>
      <c r="M31" s="13">
        <v>6.5</v>
      </c>
    </row>
    <row r="32" spans="1:13">
      <c r="A32" s="13" t="s">
        <v>78</v>
      </c>
      <c r="B32" s="13"/>
      <c r="C32" s="13" t="s">
        <v>595</v>
      </c>
      <c r="D32" s="13" t="s">
        <v>495</v>
      </c>
      <c r="E32" s="13" t="s">
        <v>596</v>
      </c>
      <c r="F32" s="13" t="s">
        <v>513</v>
      </c>
      <c r="G32" s="13">
        <v>5</v>
      </c>
      <c r="H32" s="13" t="s">
        <v>522</v>
      </c>
      <c r="I32" s="13" t="s">
        <v>597</v>
      </c>
      <c r="J32" s="13">
        <v>128</v>
      </c>
      <c r="K32" s="13" t="s">
        <v>500</v>
      </c>
      <c r="L32" s="13">
        <v>0</v>
      </c>
      <c r="M32" s="13">
        <v>3.75</v>
      </c>
    </row>
    <row r="33" spans="1:13">
      <c r="A33" s="13" t="s">
        <v>80</v>
      </c>
      <c r="B33" s="13"/>
      <c r="C33" s="13" t="s">
        <v>598</v>
      </c>
      <c r="D33" s="13" t="s">
        <v>495</v>
      </c>
      <c r="E33" s="13" t="s">
        <v>599</v>
      </c>
      <c r="F33" s="13" t="s">
        <v>497</v>
      </c>
      <c r="G33" s="13">
        <v>7</v>
      </c>
      <c r="H33" s="13" t="s">
        <v>503</v>
      </c>
      <c r="I33" s="13" t="s">
        <v>600</v>
      </c>
      <c r="J33" s="13">
        <v>153</v>
      </c>
      <c r="K33" s="13" t="s">
        <v>527</v>
      </c>
      <c r="L33" s="13">
        <v>25</v>
      </c>
      <c r="M33" s="13">
        <v>6.75</v>
      </c>
    </row>
    <row r="34" spans="1:13">
      <c r="A34" s="13" t="s">
        <v>82</v>
      </c>
      <c r="B34" s="13"/>
      <c r="C34" s="13" t="s">
        <v>601</v>
      </c>
      <c r="D34" s="13" t="s">
        <v>495</v>
      </c>
      <c r="E34" s="13" t="s">
        <v>602</v>
      </c>
      <c r="F34" s="13" t="s">
        <v>517</v>
      </c>
      <c r="G34" s="13">
        <v>3</v>
      </c>
      <c r="H34" s="13" t="s">
        <v>571</v>
      </c>
      <c r="I34" s="13" t="s">
        <v>603</v>
      </c>
      <c r="J34" s="13">
        <v>48</v>
      </c>
      <c r="K34" s="13" t="s">
        <v>500</v>
      </c>
      <c r="L34" s="13">
        <v>0</v>
      </c>
      <c r="M34" s="13">
        <v>6.5</v>
      </c>
    </row>
    <row r="35" spans="1:13">
      <c r="A35" s="13" t="s">
        <v>84</v>
      </c>
      <c r="B35" s="13"/>
      <c r="C35" s="13" t="s">
        <v>604</v>
      </c>
      <c r="D35" s="13" t="s">
        <v>495</v>
      </c>
      <c r="E35" s="13" t="s">
        <v>605</v>
      </c>
      <c r="F35" s="13" t="s">
        <v>507</v>
      </c>
      <c r="G35" s="13">
        <v>6</v>
      </c>
      <c r="H35" s="13" t="s">
        <v>503</v>
      </c>
      <c r="I35" s="13" t="s">
        <v>606</v>
      </c>
      <c r="J35" s="13">
        <v>163</v>
      </c>
      <c r="K35" s="13" t="s">
        <v>510</v>
      </c>
      <c r="L35" s="13">
        <v>50</v>
      </c>
      <c r="M35" s="13">
        <v>5.25</v>
      </c>
    </row>
    <row r="36" spans="1:13">
      <c r="A36" s="13" t="s">
        <v>86</v>
      </c>
      <c r="B36" s="13"/>
      <c r="C36" s="13" t="s">
        <v>607</v>
      </c>
      <c r="D36" s="13" t="s">
        <v>495</v>
      </c>
      <c r="E36" s="13" t="s">
        <v>608</v>
      </c>
      <c r="F36" s="13" t="s">
        <v>497</v>
      </c>
      <c r="G36" s="13">
        <v>2</v>
      </c>
      <c r="H36" s="13" t="s">
        <v>543</v>
      </c>
      <c r="I36" s="13" t="s">
        <v>609</v>
      </c>
      <c r="J36" s="13">
        <v>152</v>
      </c>
      <c r="K36" s="13" t="s">
        <v>500</v>
      </c>
      <c r="L36" s="13">
        <v>0</v>
      </c>
      <c r="M36" s="13">
        <v>7.75</v>
      </c>
    </row>
    <row r="37" spans="1:13">
      <c r="A37" s="13" t="s">
        <v>88</v>
      </c>
      <c r="B37" s="13"/>
      <c r="C37" s="13" t="s">
        <v>610</v>
      </c>
      <c r="D37" s="13" t="s">
        <v>495</v>
      </c>
      <c r="E37" s="13" t="s">
        <v>611</v>
      </c>
      <c r="F37" s="13" t="s">
        <v>517</v>
      </c>
      <c r="G37" s="13">
        <v>5</v>
      </c>
      <c r="H37" s="13" t="s">
        <v>503</v>
      </c>
      <c r="I37" s="13" t="s">
        <v>612</v>
      </c>
      <c r="J37" s="13">
        <v>86</v>
      </c>
      <c r="K37" s="13" t="s">
        <v>500</v>
      </c>
      <c r="L37" s="13">
        <v>0</v>
      </c>
      <c r="M37" s="13">
        <v>8.25</v>
      </c>
    </row>
    <row r="38" spans="1:13">
      <c r="A38" s="13" t="s">
        <v>90</v>
      </c>
      <c r="B38" s="13"/>
      <c r="C38" s="13" t="s">
        <v>613</v>
      </c>
      <c r="D38" s="13" t="s">
        <v>495</v>
      </c>
      <c r="E38" s="13" t="s">
        <v>614</v>
      </c>
      <c r="F38" s="13" t="s">
        <v>517</v>
      </c>
      <c r="G38" s="13">
        <v>2</v>
      </c>
      <c r="H38" s="13" t="s">
        <v>563</v>
      </c>
      <c r="I38" s="13" t="s">
        <v>615</v>
      </c>
      <c r="J38" s="13">
        <v>75</v>
      </c>
      <c r="K38" s="13" t="s">
        <v>500</v>
      </c>
      <c r="L38" s="13">
        <v>0</v>
      </c>
      <c r="M38" s="13">
        <v>12.5</v>
      </c>
    </row>
    <row r="39" spans="1:13">
      <c r="A39" s="13" t="s">
        <v>92</v>
      </c>
      <c r="B39" s="13"/>
      <c r="C39" s="13" t="s">
        <v>616</v>
      </c>
      <c r="D39" s="13" t="s">
        <v>495</v>
      </c>
      <c r="E39" s="13" t="s">
        <v>617</v>
      </c>
      <c r="F39" s="13" t="s">
        <v>507</v>
      </c>
      <c r="G39" s="13">
        <v>3</v>
      </c>
      <c r="H39" s="13" t="s">
        <v>571</v>
      </c>
      <c r="I39" s="13" t="s">
        <v>618</v>
      </c>
      <c r="J39" s="13">
        <v>164</v>
      </c>
      <c r="K39" s="13" t="s">
        <v>500</v>
      </c>
      <c r="L39" s="13">
        <v>0</v>
      </c>
      <c r="M39" s="13">
        <v>5</v>
      </c>
    </row>
    <row r="40" spans="1:13">
      <c r="A40" s="13" t="s">
        <v>94</v>
      </c>
      <c r="B40" s="13"/>
      <c r="C40" s="13" t="s">
        <v>619</v>
      </c>
      <c r="D40" s="13" t="s">
        <v>495</v>
      </c>
      <c r="E40" s="13" t="s">
        <v>620</v>
      </c>
      <c r="F40" s="13" t="s">
        <v>497</v>
      </c>
      <c r="G40" s="13">
        <v>2</v>
      </c>
      <c r="H40" s="13" t="s">
        <v>508</v>
      </c>
      <c r="I40" s="13" t="s">
        <v>621</v>
      </c>
      <c r="J40" s="13">
        <v>137</v>
      </c>
      <c r="K40" s="13" t="s">
        <v>500</v>
      </c>
      <c r="L40" s="13">
        <v>0</v>
      </c>
      <c r="M40" s="13">
        <v>7.5</v>
      </c>
    </row>
    <row r="41" spans="1:13">
      <c r="A41" s="13" t="s">
        <v>96</v>
      </c>
      <c r="B41" s="13"/>
      <c r="C41" s="13" t="s">
        <v>622</v>
      </c>
      <c r="D41" s="13" t="s">
        <v>495</v>
      </c>
      <c r="E41" s="13" t="s">
        <v>623</v>
      </c>
      <c r="F41" s="13" t="s">
        <v>513</v>
      </c>
      <c r="G41" s="13">
        <v>2</v>
      </c>
      <c r="H41" s="13" t="s">
        <v>498</v>
      </c>
      <c r="I41" s="13" t="s">
        <v>624</v>
      </c>
      <c r="J41" s="13">
        <v>207</v>
      </c>
      <c r="K41" s="13" t="s">
        <v>527</v>
      </c>
      <c r="L41" s="13">
        <v>25</v>
      </c>
      <c r="M41" s="13">
        <v>4.75</v>
      </c>
    </row>
    <row r="42" spans="1:13">
      <c r="A42" s="13" t="s">
        <v>98</v>
      </c>
      <c r="B42" s="13"/>
      <c r="C42" s="13" t="s">
        <v>625</v>
      </c>
      <c r="D42" s="13" t="s">
        <v>495</v>
      </c>
      <c r="E42" s="13" t="s">
        <v>626</v>
      </c>
      <c r="F42" s="13" t="s">
        <v>497</v>
      </c>
      <c r="G42" s="13">
        <v>5</v>
      </c>
      <c r="H42" s="13" t="s">
        <v>518</v>
      </c>
      <c r="I42" s="13" t="s">
        <v>627</v>
      </c>
      <c r="J42" s="13">
        <v>116</v>
      </c>
      <c r="K42" s="13" t="s">
        <v>500</v>
      </c>
      <c r="L42" s="13">
        <v>0</v>
      </c>
      <c r="M42" s="13">
        <v>5.75</v>
      </c>
    </row>
    <row r="43" spans="1:13">
      <c r="A43" s="13" t="s">
        <v>100</v>
      </c>
      <c r="B43" s="13"/>
      <c r="C43" s="13" t="s">
        <v>628</v>
      </c>
      <c r="D43" s="13" t="s">
        <v>495</v>
      </c>
      <c r="E43" s="13" t="s">
        <v>629</v>
      </c>
      <c r="F43" s="13" t="s">
        <v>507</v>
      </c>
      <c r="G43" s="13">
        <v>1</v>
      </c>
      <c r="H43" s="13" t="s">
        <v>536</v>
      </c>
      <c r="I43" s="13" t="s">
        <v>537</v>
      </c>
      <c r="J43" s="13">
        <v>82</v>
      </c>
      <c r="K43" s="13" t="s">
        <v>500</v>
      </c>
      <c r="L43" s="13">
        <v>0</v>
      </c>
      <c r="M43" s="13">
        <v>6</v>
      </c>
    </row>
    <row r="44" spans="1:13">
      <c r="A44" s="13" t="s">
        <v>102</v>
      </c>
      <c r="B44" s="13"/>
      <c r="C44" s="13" t="s">
        <v>630</v>
      </c>
      <c r="D44" s="13" t="s">
        <v>495</v>
      </c>
      <c r="E44" s="13" t="s">
        <v>631</v>
      </c>
      <c r="F44" s="13" t="s">
        <v>497</v>
      </c>
      <c r="G44" s="13">
        <v>4</v>
      </c>
      <c r="H44" s="13" t="s">
        <v>503</v>
      </c>
      <c r="I44" s="13" t="s">
        <v>632</v>
      </c>
      <c r="J44" s="13">
        <v>162</v>
      </c>
      <c r="K44" s="13" t="s">
        <v>500</v>
      </c>
      <c r="L44" s="13">
        <v>0</v>
      </c>
      <c r="M44" s="13">
        <v>7.5</v>
      </c>
    </row>
    <row r="45" spans="1:13">
      <c r="A45" s="13" t="s">
        <v>104</v>
      </c>
      <c r="B45" s="13"/>
      <c r="C45" s="13" t="s">
        <v>633</v>
      </c>
      <c r="D45" s="13" t="s">
        <v>495</v>
      </c>
      <c r="E45" s="13" t="s">
        <v>634</v>
      </c>
      <c r="F45" s="13" t="s">
        <v>517</v>
      </c>
      <c r="G45" s="13">
        <v>9</v>
      </c>
      <c r="H45" s="13" t="s">
        <v>563</v>
      </c>
      <c r="I45" s="13" t="s">
        <v>635</v>
      </c>
      <c r="J45" s="13">
        <v>107</v>
      </c>
      <c r="K45" s="13" t="s">
        <v>527</v>
      </c>
      <c r="L45" s="13">
        <v>25</v>
      </c>
      <c r="M45" s="13">
        <v>9.25</v>
      </c>
    </row>
    <row r="46" spans="1:13">
      <c r="A46" s="13" t="s">
        <v>106</v>
      </c>
      <c r="B46" s="13"/>
      <c r="C46" s="13" t="s">
        <v>636</v>
      </c>
      <c r="D46" s="13" t="s">
        <v>495</v>
      </c>
      <c r="E46" s="13" t="s">
        <v>637</v>
      </c>
      <c r="F46" s="13" t="s">
        <v>513</v>
      </c>
      <c r="G46" s="13">
        <v>6</v>
      </c>
      <c r="H46" s="13" t="s">
        <v>518</v>
      </c>
      <c r="I46" s="13" t="s">
        <v>638</v>
      </c>
      <c r="J46" s="13">
        <v>174</v>
      </c>
      <c r="K46" s="13" t="s">
        <v>500</v>
      </c>
      <c r="L46" s="13">
        <v>0</v>
      </c>
      <c r="M46" s="13">
        <v>4.75</v>
      </c>
    </row>
    <row r="47" spans="1:13">
      <c r="A47" s="13" t="s">
        <v>108</v>
      </c>
      <c r="B47" s="13"/>
      <c r="C47" s="13" t="s">
        <v>639</v>
      </c>
      <c r="D47" s="13" t="s">
        <v>495</v>
      </c>
      <c r="E47" s="13" t="s">
        <v>640</v>
      </c>
      <c r="F47" s="13" t="s">
        <v>513</v>
      </c>
      <c r="G47" s="13">
        <v>3</v>
      </c>
      <c r="H47" s="13" t="s">
        <v>508</v>
      </c>
      <c r="I47" s="13" t="s">
        <v>641</v>
      </c>
      <c r="J47" s="13">
        <v>184</v>
      </c>
      <c r="K47" s="13" t="s">
        <v>500</v>
      </c>
      <c r="L47" s="13">
        <v>0</v>
      </c>
      <c r="M47" s="13">
        <v>4.75</v>
      </c>
    </row>
    <row r="48" spans="1:13">
      <c r="A48" s="13" t="s">
        <v>110</v>
      </c>
      <c r="B48" s="13"/>
      <c r="C48" s="13" t="s">
        <v>642</v>
      </c>
      <c r="D48" s="13" t="s">
        <v>495</v>
      </c>
      <c r="E48" s="13" t="s">
        <v>643</v>
      </c>
      <c r="F48" s="13" t="s">
        <v>513</v>
      </c>
      <c r="G48" s="13">
        <v>5</v>
      </c>
      <c r="H48" s="13" t="s">
        <v>522</v>
      </c>
      <c r="I48" s="13" t="s">
        <v>644</v>
      </c>
      <c r="J48" s="13">
        <v>151</v>
      </c>
      <c r="K48" s="13" t="s">
        <v>500</v>
      </c>
      <c r="L48" s="13">
        <v>0</v>
      </c>
      <c r="M48" s="13">
        <v>5.75</v>
      </c>
    </row>
    <row r="49" spans="1:13">
      <c r="A49" s="13" t="s">
        <v>112</v>
      </c>
      <c r="B49" s="13"/>
      <c r="C49" s="13" t="s">
        <v>645</v>
      </c>
      <c r="D49" s="13" t="s">
        <v>495</v>
      </c>
      <c r="E49" s="13" t="s">
        <v>646</v>
      </c>
      <c r="F49" s="13" t="s">
        <v>507</v>
      </c>
      <c r="G49" s="13">
        <v>6</v>
      </c>
      <c r="H49" s="13" t="s">
        <v>518</v>
      </c>
      <c r="I49" s="13" t="s">
        <v>647</v>
      </c>
      <c r="J49" s="13">
        <v>133</v>
      </c>
      <c r="K49" s="13" t="s">
        <v>527</v>
      </c>
      <c r="L49" s="13">
        <v>25</v>
      </c>
      <c r="M49" s="13">
        <v>4</v>
      </c>
    </row>
    <row r="50" spans="1:13">
      <c r="A50" s="13" t="s">
        <v>114</v>
      </c>
      <c r="B50" s="13"/>
      <c r="C50" s="13" t="s">
        <v>648</v>
      </c>
      <c r="D50" s="13" t="s">
        <v>495</v>
      </c>
      <c r="E50" s="13" t="s">
        <v>649</v>
      </c>
      <c r="F50" s="13" t="s">
        <v>513</v>
      </c>
      <c r="G50" s="13">
        <v>5</v>
      </c>
      <c r="H50" s="13" t="s">
        <v>522</v>
      </c>
      <c r="I50" s="13" t="s">
        <v>650</v>
      </c>
      <c r="J50" s="13">
        <v>154</v>
      </c>
      <c r="K50" s="13" t="s">
        <v>500</v>
      </c>
      <c r="L50" s="13">
        <v>0</v>
      </c>
      <c r="M50" s="13">
        <v>6</v>
      </c>
    </row>
    <row r="51" spans="1:13">
      <c r="A51" s="13" t="s">
        <v>116</v>
      </c>
      <c r="B51" s="13"/>
      <c r="C51" s="13" t="s">
        <v>589</v>
      </c>
      <c r="D51" s="13" t="s">
        <v>495</v>
      </c>
      <c r="E51" s="13" t="s">
        <v>590</v>
      </c>
      <c r="F51" s="13" t="s">
        <v>513</v>
      </c>
      <c r="G51" s="13">
        <v>2</v>
      </c>
      <c r="H51" s="13" t="s">
        <v>498</v>
      </c>
      <c r="I51" s="13" t="s">
        <v>651</v>
      </c>
      <c r="J51" s="13">
        <v>187</v>
      </c>
      <c r="K51" s="13" t="s">
        <v>500</v>
      </c>
      <c r="L51" s="13">
        <v>0</v>
      </c>
      <c r="M51" s="13">
        <v>5.75</v>
      </c>
    </row>
    <row r="52" spans="1:13">
      <c r="A52" s="13" t="s">
        <v>118</v>
      </c>
      <c r="B52" s="13"/>
      <c r="C52" s="13" t="s">
        <v>652</v>
      </c>
      <c r="D52" s="13" t="s">
        <v>495</v>
      </c>
      <c r="E52" s="13" t="s">
        <v>653</v>
      </c>
      <c r="F52" s="13" t="s">
        <v>507</v>
      </c>
      <c r="G52" s="13">
        <v>1</v>
      </c>
      <c r="H52" s="13" t="s">
        <v>536</v>
      </c>
      <c r="I52" s="13" t="s">
        <v>537</v>
      </c>
      <c r="J52" s="13">
        <v>141</v>
      </c>
      <c r="K52" s="13" t="s">
        <v>500</v>
      </c>
      <c r="L52" s="13">
        <v>0</v>
      </c>
      <c r="M52" s="13">
        <v>4.75</v>
      </c>
    </row>
    <row r="53" spans="1:13">
      <c r="A53" s="13" t="s">
        <v>120</v>
      </c>
      <c r="B53" s="13"/>
      <c r="C53" s="13" t="s">
        <v>654</v>
      </c>
      <c r="D53" s="13" t="s">
        <v>495</v>
      </c>
      <c r="E53" s="13" t="s">
        <v>655</v>
      </c>
      <c r="F53" s="13" t="s">
        <v>517</v>
      </c>
      <c r="G53" s="13">
        <v>3</v>
      </c>
      <c r="H53" s="13" t="s">
        <v>508</v>
      </c>
      <c r="I53" s="13" t="s">
        <v>656</v>
      </c>
      <c r="J53" s="13">
        <v>89</v>
      </c>
      <c r="K53" s="13" t="s">
        <v>500</v>
      </c>
      <c r="L53" s="13">
        <v>0</v>
      </c>
      <c r="M53" s="13">
        <v>6.75</v>
      </c>
    </row>
    <row r="54" spans="1:13">
      <c r="A54" s="13" t="s">
        <v>122</v>
      </c>
      <c r="B54" s="13"/>
      <c r="C54" s="13" t="s">
        <v>657</v>
      </c>
      <c r="D54" s="13" t="s">
        <v>495</v>
      </c>
      <c r="E54" s="13" t="s">
        <v>658</v>
      </c>
      <c r="F54" s="13" t="s">
        <v>513</v>
      </c>
      <c r="G54" s="13">
        <v>7</v>
      </c>
      <c r="H54" s="13" t="s">
        <v>556</v>
      </c>
      <c r="I54" s="13" t="s">
        <v>659</v>
      </c>
      <c r="J54" s="13">
        <v>131</v>
      </c>
      <c r="K54" s="13" t="s">
        <v>510</v>
      </c>
      <c r="L54" s="13">
        <v>25</v>
      </c>
      <c r="M54" s="13">
        <v>5.5</v>
      </c>
    </row>
    <row r="55" spans="1:13">
      <c r="A55" s="13" t="s">
        <v>124</v>
      </c>
      <c r="B55" s="13"/>
      <c r="C55" s="13" t="s">
        <v>660</v>
      </c>
      <c r="D55" s="13" t="s">
        <v>495</v>
      </c>
      <c r="E55" s="13" t="s">
        <v>661</v>
      </c>
      <c r="F55" s="13" t="s">
        <v>507</v>
      </c>
      <c r="G55" s="13">
        <v>7</v>
      </c>
      <c r="H55" s="13" t="s">
        <v>543</v>
      </c>
      <c r="I55" s="13" t="s">
        <v>662</v>
      </c>
      <c r="J55" s="13">
        <v>172</v>
      </c>
      <c r="K55" s="13" t="s">
        <v>527</v>
      </c>
      <c r="L55" s="13">
        <v>25</v>
      </c>
      <c r="M55" s="13">
        <v>4.5</v>
      </c>
    </row>
    <row r="56" spans="1:13">
      <c r="A56" s="13" t="s">
        <v>126</v>
      </c>
      <c r="B56" s="13"/>
      <c r="C56" s="13" t="s">
        <v>633</v>
      </c>
      <c r="D56" s="13" t="s">
        <v>495</v>
      </c>
      <c r="E56" s="13" t="s">
        <v>634</v>
      </c>
      <c r="F56" s="13" t="s">
        <v>517</v>
      </c>
      <c r="G56" s="13">
        <v>1</v>
      </c>
      <c r="H56" s="13" t="s">
        <v>536</v>
      </c>
      <c r="I56" s="13" t="s">
        <v>537</v>
      </c>
      <c r="J56" s="13">
        <v>67</v>
      </c>
      <c r="K56" s="13" t="s">
        <v>527</v>
      </c>
      <c r="L56" s="13">
        <v>25</v>
      </c>
      <c r="M56" s="13">
        <v>9.25</v>
      </c>
    </row>
    <row r="57" spans="1:13">
      <c r="A57" s="13" t="s">
        <v>128</v>
      </c>
      <c r="B57" s="13"/>
      <c r="C57" s="13" t="s">
        <v>663</v>
      </c>
      <c r="D57" s="13" t="s">
        <v>495</v>
      </c>
      <c r="E57" s="13" t="s">
        <v>664</v>
      </c>
      <c r="F57" s="13" t="s">
        <v>507</v>
      </c>
      <c r="G57" s="13">
        <v>3</v>
      </c>
      <c r="H57" s="13" t="s">
        <v>508</v>
      </c>
      <c r="I57" s="13" t="s">
        <v>665</v>
      </c>
      <c r="J57" s="13">
        <v>118</v>
      </c>
      <c r="K57" s="13" t="s">
        <v>527</v>
      </c>
      <c r="L57" s="13">
        <v>25</v>
      </c>
      <c r="M57" s="13">
        <v>5.75</v>
      </c>
    </row>
    <row r="58" spans="1:13">
      <c r="A58" s="13" t="s">
        <v>130</v>
      </c>
      <c r="B58" s="13"/>
      <c r="C58" s="13" t="s">
        <v>666</v>
      </c>
      <c r="D58" s="13" t="s">
        <v>495</v>
      </c>
      <c r="E58" s="13" t="s">
        <v>667</v>
      </c>
      <c r="F58" s="13" t="s">
        <v>497</v>
      </c>
      <c r="G58" s="13">
        <v>5</v>
      </c>
      <c r="H58" s="13" t="s">
        <v>522</v>
      </c>
      <c r="I58" s="13" t="s">
        <v>668</v>
      </c>
      <c r="J58" s="13">
        <v>86</v>
      </c>
      <c r="K58" s="13" t="s">
        <v>500</v>
      </c>
      <c r="L58" s="13">
        <v>0</v>
      </c>
      <c r="M58" s="13">
        <v>7.5</v>
      </c>
    </row>
    <row r="59" spans="1:13">
      <c r="A59" s="13" t="s">
        <v>132</v>
      </c>
      <c r="B59" s="13"/>
      <c r="C59" s="13" t="s">
        <v>669</v>
      </c>
      <c r="D59" s="13" t="s">
        <v>495</v>
      </c>
      <c r="E59" s="13" t="s">
        <v>670</v>
      </c>
      <c r="F59" s="13" t="s">
        <v>497</v>
      </c>
      <c r="G59" s="13">
        <v>5</v>
      </c>
      <c r="H59" s="13" t="s">
        <v>522</v>
      </c>
      <c r="I59" s="13" t="s">
        <v>671</v>
      </c>
      <c r="J59" s="13">
        <v>93</v>
      </c>
      <c r="K59" s="13" t="s">
        <v>510</v>
      </c>
      <c r="L59" s="13">
        <v>50</v>
      </c>
      <c r="M59" s="13">
        <v>6.5</v>
      </c>
    </row>
    <row r="60" spans="1:13">
      <c r="A60" s="13" t="s">
        <v>134</v>
      </c>
      <c r="B60" s="13"/>
      <c r="C60" s="13" t="s">
        <v>672</v>
      </c>
      <c r="D60" s="13" t="s">
        <v>495</v>
      </c>
      <c r="E60" s="13" t="s">
        <v>673</v>
      </c>
      <c r="F60" s="13" t="s">
        <v>497</v>
      </c>
      <c r="G60" s="13">
        <v>7</v>
      </c>
      <c r="H60" s="13" t="s">
        <v>556</v>
      </c>
      <c r="I60" s="13" t="s">
        <v>674</v>
      </c>
      <c r="J60" s="13">
        <v>159</v>
      </c>
      <c r="K60" s="13" t="s">
        <v>500</v>
      </c>
      <c r="L60" s="13">
        <v>0</v>
      </c>
      <c r="M60" s="13">
        <v>5.75</v>
      </c>
    </row>
    <row r="61" spans="1:13">
      <c r="A61" s="13" t="s">
        <v>136</v>
      </c>
      <c r="B61" s="13"/>
      <c r="C61" s="13" t="s">
        <v>675</v>
      </c>
      <c r="D61" s="13" t="s">
        <v>495</v>
      </c>
      <c r="E61" s="13" t="s">
        <v>676</v>
      </c>
      <c r="F61" s="13" t="s">
        <v>507</v>
      </c>
      <c r="G61" s="13">
        <v>6</v>
      </c>
      <c r="H61" s="13" t="s">
        <v>571</v>
      </c>
      <c r="I61" s="13" t="s">
        <v>677</v>
      </c>
      <c r="J61" s="13">
        <v>191</v>
      </c>
      <c r="K61" s="13" t="s">
        <v>500</v>
      </c>
      <c r="L61" s="13">
        <v>0</v>
      </c>
      <c r="M61" s="13">
        <v>4.5</v>
      </c>
    </row>
    <row r="62" spans="1:13">
      <c r="A62" s="13" t="s">
        <v>138</v>
      </c>
      <c r="B62" s="13"/>
      <c r="C62" s="13" t="s">
        <v>678</v>
      </c>
      <c r="D62" s="13" t="s">
        <v>495</v>
      </c>
      <c r="E62" s="13" t="s">
        <v>679</v>
      </c>
      <c r="F62" s="13" t="s">
        <v>497</v>
      </c>
      <c r="G62" s="13">
        <v>3</v>
      </c>
      <c r="H62" s="13" t="s">
        <v>508</v>
      </c>
      <c r="I62" s="13" t="s">
        <v>680</v>
      </c>
      <c r="J62" s="13">
        <v>167</v>
      </c>
      <c r="K62" s="13" t="s">
        <v>500</v>
      </c>
      <c r="L62" s="13">
        <v>0</v>
      </c>
      <c r="M62" s="13">
        <v>5.25</v>
      </c>
    </row>
    <row r="63" spans="1:13">
      <c r="A63" s="13" t="s">
        <v>140</v>
      </c>
      <c r="B63" s="13"/>
      <c r="C63" s="13" t="s">
        <v>681</v>
      </c>
      <c r="D63" s="13" t="s">
        <v>495</v>
      </c>
      <c r="E63" s="13" t="s">
        <v>682</v>
      </c>
      <c r="F63" s="13" t="s">
        <v>517</v>
      </c>
      <c r="G63" s="13">
        <v>3</v>
      </c>
      <c r="H63" s="13" t="s">
        <v>508</v>
      </c>
      <c r="I63" s="13" t="s">
        <v>683</v>
      </c>
      <c r="J63" s="13">
        <v>73</v>
      </c>
      <c r="K63" s="13" t="s">
        <v>500</v>
      </c>
      <c r="L63" s="13">
        <v>0</v>
      </c>
      <c r="M63" s="13">
        <v>12.75</v>
      </c>
    </row>
    <row r="64" spans="1:13">
      <c r="A64" s="13" t="s">
        <v>142</v>
      </c>
      <c r="B64" s="13"/>
      <c r="C64" s="13" t="s">
        <v>684</v>
      </c>
      <c r="D64" s="13" t="s">
        <v>495</v>
      </c>
      <c r="E64" s="13" t="s">
        <v>685</v>
      </c>
      <c r="F64" s="13" t="s">
        <v>497</v>
      </c>
      <c r="G64" s="13">
        <v>1</v>
      </c>
      <c r="H64" s="13" t="s">
        <v>536</v>
      </c>
      <c r="I64" s="13" t="s">
        <v>537</v>
      </c>
      <c r="J64" s="13">
        <v>103</v>
      </c>
      <c r="K64" s="13" t="s">
        <v>500</v>
      </c>
      <c r="L64" s="13">
        <v>0</v>
      </c>
      <c r="M64" s="13">
        <v>5.75</v>
      </c>
    </row>
    <row r="65" spans="1:13">
      <c r="A65" s="13" t="s">
        <v>144</v>
      </c>
      <c r="B65" s="13"/>
      <c r="C65" s="13" t="s">
        <v>686</v>
      </c>
      <c r="D65" s="13" t="s">
        <v>495</v>
      </c>
      <c r="E65" s="13" t="s">
        <v>687</v>
      </c>
      <c r="F65" s="13" t="s">
        <v>517</v>
      </c>
      <c r="G65" s="13">
        <v>2</v>
      </c>
      <c r="H65" s="13" t="s">
        <v>508</v>
      </c>
      <c r="I65" s="13" t="s">
        <v>688</v>
      </c>
      <c r="J65" s="13">
        <v>327</v>
      </c>
      <c r="K65" s="13" t="s">
        <v>510</v>
      </c>
      <c r="L65" s="13">
        <v>125</v>
      </c>
      <c r="M65" s="13">
        <v>12.25</v>
      </c>
    </row>
    <row r="66" spans="1:13">
      <c r="A66" s="13" t="s">
        <v>146</v>
      </c>
      <c r="B66" s="13"/>
      <c r="C66" s="13" t="s">
        <v>689</v>
      </c>
      <c r="D66" s="13" t="s">
        <v>495</v>
      </c>
      <c r="E66" s="13" t="s">
        <v>690</v>
      </c>
      <c r="F66" s="13" t="s">
        <v>497</v>
      </c>
      <c r="G66" s="13">
        <v>5</v>
      </c>
      <c r="H66" s="13" t="s">
        <v>522</v>
      </c>
      <c r="I66" s="13" t="s">
        <v>691</v>
      </c>
      <c r="J66" s="13">
        <v>64</v>
      </c>
      <c r="K66" s="13" t="s">
        <v>500</v>
      </c>
      <c r="L66" s="13">
        <v>0</v>
      </c>
      <c r="M66" s="13">
        <v>6.5</v>
      </c>
    </row>
    <row r="67" spans="1:13">
      <c r="A67" s="13" t="s">
        <v>148</v>
      </c>
      <c r="B67" s="13"/>
      <c r="C67" s="13" t="s">
        <v>692</v>
      </c>
      <c r="D67" s="13" t="s">
        <v>495</v>
      </c>
      <c r="E67" s="13" t="s">
        <v>693</v>
      </c>
      <c r="F67" s="13" t="s">
        <v>513</v>
      </c>
      <c r="G67" s="13">
        <v>1</v>
      </c>
      <c r="H67" s="13" t="s">
        <v>536</v>
      </c>
      <c r="I67" s="13" t="s">
        <v>537</v>
      </c>
      <c r="J67" s="13">
        <v>235</v>
      </c>
      <c r="K67" s="13" t="s">
        <v>510</v>
      </c>
      <c r="L67" s="13">
        <v>50</v>
      </c>
      <c r="M67" s="13">
        <v>5.25</v>
      </c>
    </row>
    <row r="68" spans="1:13">
      <c r="A68" s="13" t="s">
        <v>150</v>
      </c>
      <c r="B68" s="13"/>
      <c r="C68" s="13" t="s">
        <v>645</v>
      </c>
      <c r="D68" s="13" t="s">
        <v>495</v>
      </c>
      <c r="E68" s="13" t="s">
        <v>646</v>
      </c>
      <c r="F68" s="13" t="s">
        <v>507</v>
      </c>
      <c r="G68" s="13">
        <v>5</v>
      </c>
      <c r="H68" s="13" t="s">
        <v>522</v>
      </c>
      <c r="I68" s="13" t="s">
        <v>694</v>
      </c>
      <c r="J68" s="13">
        <v>156</v>
      </c>
      <c r="K68" s="13" t="s">
        <v>527</v>
      </c>
      <c r="L68" s="13">
        <v>25</v>
      </c>
      <c r="M68" s="13">
        <v>4</v>
      </c>
    </row>
    <row r="69" spans="1:13">
      <c r="A69" s="13" t="s">
        <v>152</v>
      </c>
      <c r="B69" s="13"/>
      <c r="C69" s="13" t="s">
        <v>619</v>
      </c>
      <c r="D69" s="13" t="s">
        <v>495</v>
      </c>
      <c r="E69" s="13" t="s">
        <v>620</v>
      </c>
      <c r="F69" s="13" t="s">
        <v>497</v>
      </c>
      <c r="G69" s="13">
        <v>3</v>
      </c>
      <c r="H69" s="13" t="s">
        <v>508</v>
      </c>
      <c r="I69" s="13" t="s">
        <v>695</v>
      </c>
      <c r="J69" s="13">
        <v>150</v>
      </c>
      <c r="K69" s="13" t="s">
        <v>500</v>
      </c>
      <c r="L69" s="13">
        <v>0</v>
      </c>
      <c r="M69" s="13">
        <v>7.5</v>
      </c>
    </row>
    <row r="70" spans="1:13">
      <c r="A70" s="13" t="s">
        <v>154</v>
      </c>
      <c r="B70" s="13"/>
      <c r="C70" s="13" t="s">
        <v>696</v>
      </c>
      <c r="D70" s="13" t="s">
        <v>495</v>
      </c>
      <c r="E70" s="13" t="s">
        <v>697</v>
      </c>
      <c r="F70" s="13" t="s">
        <v>507</v>
      </c>
      <c r="G70" s="13">
        <v>7</v>
      </c>
      <c r="H70" s="13" t="s">
        <v>518</v>
      </c>
      <c r="I70" s="13" t="s">
        <v>647</v>
      </c>
      <c r="J70" s="13">
        <v>171</v>
      </c>
      <c r="K70" s="13" t="s">
        <v>500</v>
      </c>
      <c r="L70" s="13">
        <v>0</v>
      </c>
      <c r="M70" s="13">
        <v>4.5</v>
      </c>
    </row>
    <row r="71" spans="1:13">
      <c r="A71" s="13" t="s">
        <v>156</v>
      </c>
      <c r="B71" s="13"/>
      <c r="C71" s="13" t="s">
        <v>696</v>
      </c>
      <c r="D71" s="13" t="s">
        <v>495</v>
      </c>
      <c r="E71" s="13" t="s">
        <v>697</v>
      </c>
      <c r="F71" s="13" t="s">
        <v>507</v>
      </c>
      <c r="G71" s="13">
        <v>8</v>
      </c>
      <c r="H71" s="13" t="s">
        <v>698</v>
      </c>
      <c r="I71" s="13" t="s">
        <v>699</v>
      </c>
      <c r="J71" s="13">
        <v>194</v>
      </c>
      <c r="K71" s="13" t="s">
        <v>500</v>
      </c>
      <c r="L71" s="13">
        <v>0</v>
      </c>
      <c r="M71" s="13">
        <v>4.5</v>
      </c>
    </row>
    <row r="72" spans="1:13">
      <c r="A72" s="13" t="s">
        <v>159</v>
      </c>
      <c r="B72" s="13"/>
      <c r="C72" s="13" t="s">
        <v>573</v>
      </c>
      <c r="D72" s="13" t="s">
        <v>495</v>
      </c>
      <c r="E72" s="13" t="s">
        <v>574</v>
      </c>
      <c r="F72" s="13" t="s">
        <v>517</v>
      </c>
      <c r="G72" s="13">
        <v>3</v>
      </c>
      <c r="H72" s="13" t="s">
        <v>571</v>
      </c>
      <c r="I72" s="13" t="s">
        <v>700</v>
      </c>
      <c r="J72" s="13">
        <v>66</v>
      </c>
      <c r="K72" s="13" t="s">
        <v>500</v>
      </c>
      <c r="L72" s="13">
        <v>0</v>
      </c>
      <c r="M72" s="13">
        <v>6.75</v>
      </c>
    </row>
    <row r="73" spans="1:13">
      <c r="A73" s="13" t="s">
        <v>161</v>
      </c>
      <c r="B73" s="13"/>
      <c r="C73" s="13" t="s">
        <v>692</v>
      </c>
      <c r="D73" s="13" t="s">
        <v>495</v>
      </c>
      <c r="E73" s="13" t="s">
        <v>693</v>
      </c>
      <c r="F73" s="13" t="s">
        <v>513</v>
      </c>
      <c r="G73" s="13">
        <v>6</v>
      </c>
      <c r="H73" s="13" t="s">
        <v>518</v>
      </c>
      <c r="I73" s="13" t="s">
        <v>701</v>
      </c>
      <c r="J73" s="13">
        <v>170</v>
      </c>
      <c r="K73" s="13" t="s">
        <v>510</v>
      </c>
      <c r="L73" s="13">
        <v>50</v>
      </c>
      <c r="M73" s="13">
        <v>5.25</v>
      </c>
    </row>
    <row r="74" spans="1:13">
      <c r="A74" s="13" t="s">
        <v>163</v>
      </c>
      <c r="B74" s="13"/>
      <c r="C74" s="13" t="s">
        <v>702</v>
      </c>
      <c r="D74" s="13" t="s">
        <v>495</v>
      </c>
      <c r="E74" s="13" t="s">
        <v>703</v>
      </c>
      <c r="F74" s="13" t="s">
        <v>513</v>
      </c>
      <c r="G74" s="13">
        <v>1</v>
      </c>
      <c r="H74" s="13" t="s">
        <v>536</v>
      </c>
      <c r="I74" s="13" t="s">
        <v>537</v>
      </c>
      <c r="J74" s="13">
        <v>377</v>
      </c>
      <c r="K74" s="13" t="s">
        <v>500</v>
      </c>
      <c r="L74" s="13">
        <v>0</v>
      </c>
      <c r="M74" s="13">
        <v>5.75</v>
      </c>
    </row>
    <row r="75" spans="1:13">
      <c r="A75" s="13" t="s">
        <v>165</v>
      </c>
      <c r="B75" s="13"/>
      <c r="C75" s="13" t="s">
        <v>704</v>
      </c>
      <c r="D75" s="13" t="s">
        <v>495</v>
      </c>
      <c r="E75" s="13" t="s">
        <v>705</v>
      </c>
      <c r="F75" s="13" t="s">
        <v>507</v>
      </c>
      <c r="G75" s="13">
        <v>7</v>
      </c>
      <c r="H75" s="13" t="s">
        <v>556</v>
      </c>
      <c r="I75" s="13" t="s">
        <v>706</v>
      </c>
      <c r="J75" s="13">
        <v>228</v>
      </c>
      <c r="K75" s="13" t="s">
        <v>500</v>
      </c>
      <c r="L75" s="13">
        <v>0</v>
      </c>
      <c r="M75" s="13">
        <v>5.25</v>
      </c>
    </row>
    <row r="76" spans="1:13">
      <c r="A76" s="13" t="s">
        <v>167</v>
      </c>
      <c r="B76" s="13"/>
      <c r="C76" s="13" t="s">
        <v>707</v>
      </c>
      <c r="D76" s="13" t="s">
        <v>495</v>
      </c>
      <c r="E76" s="13" t="s">
        <v>708</v>
      </c>
      <c r="F76" s="13" t="s">
        <v>497</v>
      </c>
      <c r="G76" s="13">
        <v>2</v>
      </c>
      <c r="H76" s="13" t="s">
        <v>498</v>
      </c>
      <c r="I76" s="13" t="s">
        <v>709</v>
      </c>
      <c r="J76" s="13">
        <v>101</v>
      </c>
      <c r="K76" s="13" t="s">
        <v>500</v>
      </c>
      <c r="L76" s="13">
        <v>0</v>
      </c>
      <c r="M76" s="13">
        <v>7.5</v>
      </c>
    </row>
    <row r="77" spans="1:13">
      <c r="A77" s="13" t="s">
        <v>169</v>
      </c>
      <c r="B77" s="13"/>
      <c r="C77" s="13" t="s">
        <v>636</v>
      </c>
      <c r="D77" s="13" t="s">
        <v>495</v>
      </c>
      <c r="E77" s="13" t="s">
        <v>637</v>
      </c>
      <c r="F77" s="13" t="s">
        <v>513</v>
      </c>
      <c r="G77" s="13">
        <v>2</v>
      </c>
      <c r="H77" s="13" t="s">
        <v>498</v>
      </c>
      <c r="I77" s="13" t="s">
        <v>710</v>
      </c>
      <c r="J77" s="13">
        <v>217</v>
      </c>
      <c r="K77" s="13" t="s">
        <v>500</v>
      </c>
      <c r="L77" s="13">
        <v>0</v>
      </c>
      <c r="M77" s="13">
        <v>4.75</v>
      </c>
    </row>
    <row r="78" spans="1:13">
      <c r="A78" s="13" t="s">
        <v>171</v>
      </c>
      <c r="B78" s="13"/>
      <c r="C78" s="13" t="s">
        <v>622</v>
      </c>
      <c r="D78" s="13" t="s">
        <v>495</v>
      </c>
      <c r="E78" s="13" t="s">
        <v>623</v>
      </c>
      <c r="F78" s="13" t="s">
        <v>513</v>
      </c>
      <c r="G78" s="13">
        <v>3</v>
      </c>
      <c r="H78" s="13" t="s">
        <v>508</v>
      </c>
      <c r="I78" s="13" t="s">
        <v>711</v>
      </c>
      <c r="J78" s="13">
        <v>190</v>
      </c>
      <c r="K78" s="13" t="s">
        <v>527</v>
      </c>
      <c r="L78" s="13">
        <v>25</v>
      </c>
      <c r="M78" s="13">
        <v>4.75</v>
      </c>
    </row>
    <row r="79" spans="1:13">
      <c r="A79" s="13" t="s">
        <v>173</v>
      </c>
      <c r="B79" s="13"/>
      <c r="C79" s="13" t="s">
        <v>712</v>
      </c>
      <c r="D79" s="13" t="s">
        <v>495</v>
      </c>
      <c r="E79" s="13" t="s">
        <v>713</v>
      </c>
      <c r="F79" s="13" t="s">
        <v>497</v>
      </c>
      <c r="G79" s="13">
        <v>5</v>
      </c>
      <c r="H79" s="13" t="s">
        <v>522</v>
      </c>
      <c r="I79" s="13" t="s">
        <v>714</v>
      </c>
      <c r="J79" s="13">
        <v>75</v>
      </c>
      <c r="K79" s="13" t="s">
        <v>500</v>
      </c>
      <c r="L79" s="13">
        <v>0</v>
      </c>
      <c r="M79" s="13">
        <v>7.5</v>
      </c>
    </row>
    <row r="80" spans="1:13">
      <c r="A80" s="13" t="s">
        <v>175</v>
      </c>
      <c r="B80" s="13"/>
      <c r="C80" s="13" t="s">
        <v>715</v>
      </c>
      <c r="D80" s="13" t="s">
        <v>495</v>
      </c>
      <c r="E80" s="13" t="s">
        <v>716</v>
      </c>
      <c r="F80" s="13" t="s">
        <v>497</v>
      </c>
      <c r="G80" s="13">
        <v>1</v>
      </c>
      <c r="H80" s="13" t="s">
        <v>536</v>
      </c>
      <c r="I80" s="13" t="s">
        <v>537</v>
      </c>
      <c r="J80" s="13">
        <v>104</v>
      </c>
      <c r="K80" s="13" t="s">
        <v>500</v>
      </c>
      <c r="L80" s="13">
        <v>0</v>
      </c>
      <c r="M80" s="13">
        <v>5.75</v>
      </c>
    </row>
    <row r="81" spans="1:13">
      <c r="A81" s="13" t="s">
        <v>177</v>
      </c>
      <c r="B81" s="13"/>
      <c r="C81" s="13" t="s">
        <v>548</v>
      </c>
      <c r="D81" s="13" t="s">
        <v>495</v>
      </c>
      <c r="E81" s="13" t="s">
        <v>549</v>
      </c>
      <c r="F81" s="13" t="s">
        <v>507</v>
      </c>
      <c r="G81" s="13">
        <v>5</v>
      </c>
      <c r="H81" s="13" t="s">
        <v>522</v>
      </c>
      <c r="I81" s="13" t="s">
        <v>694</v>
      </c>
      <c r="J81" s="13">
        <v>118</v>
      </c>
      <c r="K81" s="13" t="s">
        <v>527</v>
      </c>
      <c r="L81" s="13">
        <v>25</v>
      </c>
      <c r="M81" s="13">
        <v>4.75</v>
      </c>
    </row>
    <row r="82" spans="1:13">
      <c r="A82" s="13" t="s">
        <v>179</v>
      </c>
      <c r="B82" s="13"/>
      <c r="C82" s="13" t="s">
        <v>678</v>
      </c>
      <c r="D82" s="13" t="s">
        <v>495</v>
      </c>
      <c r="E82" s="13" t="s">
        <v>679</v>
      </c>
      <c r="F82" s="13" t="s">
        <v>497</v>
      </c>
      <c r="G82" s="13">
        <v>7</v>
      </c>
      <c r="H82" s="13" t="s">
        <v>563</v>
      </c>
      <c r="I82" s="13" t="s">
        <v>717</v>
      </c>
      <c r="J82" s="13">
        <v>177</v>
      </c>
      <c r="K82" s="13" t="s">
        <v>500</v>
      </c>
      <c r="L82" s="13">
        <v>0</v>
      </c>
      <c r="M82" s="13">
        <v>5.25</v>
      </c>
    </row>
    <row r="83" spans="1:13">
      <c r="A83" s="13" t="s">
        <v>181</v>
      </c>
      <c r="B83" s="13"/>
      <c r="C83" s="13" t="s">
        <v>718</v>
      </c>
      <c r="D83" s="13" t="s">
        <v>495</v>
      </c>
      <c r="E83" s="13" t="s">
        <v>719</v>
      </c>
      <c r="F83" s="13" t="s">
        <v>513</v>
      </c>
      <c r="G83" s="13">
        <v>7</v>
      </c>
      <c r="H83" s="13" t="s">
        <v>543</v>
      </c>
      <c r="I83" s="13" t="s">
        <v>720</v>
      </c>
      <c r="J83" s="13">
        <v>143</v>
      </c>
      <c r="K83" s="13" t="s">
        <v>500</v>
      </c>
      <c r="L83" s="13">
        <v>0</v>
      </c>
      <c r="M83" s="13">
        <v>3.5</v>
      </c>
    </row>
    <row r="84" spans="1:13">
      <c r="A84" s="13" t="s">
        <v>183</v>
      </c>
      <c r="B84" s="13"/>
      <c r="C84" s="13" t="s">
        <v>721</v>
      </c>
      <c r="D84" s="13" t="s">
        <v>495</v>
      </c>
      <c r="E84" s="13" t="s">
        <v>722</v>
      </c>
      <c r="F84" s="13" t="s">
        <v>497</v>
      </c>
      <c r="G84" s="13">
        <v>1</v>
      </c>
      <c r="H84" s="13" t="s">
        <v>536</v>
      </c>
      <c r="I84" s="13" t="s">
        <v>537</v>
      </c>
      <c r="J84" s="13">
        <v>131</v>
      </c>
      <c r="K84" s="13" t="s">
        <v>500</v>
      </c>
      <c r="L84" s="13">
        <v>0</v>
      </c>
      <c r="M84" s="13">
        <v>6.75</v>
      </c>
    </row>
    <row r="85" spans="1:13">
      <c r="A85" s="13" t="s">
        <v>185</v>
      </c>
      <c r="B85" s="13"/>
      <c r="C85" s="13" t="s">
        <v>520</v>
      </c>
      <c r="D85" s="13" t="s">
        <v>495</v>
      </c>
      <c r="E85" s="13" t="s">
        <v>521</v>
      </c>
      <c r="F85" s="13" t="s">
        <v>517</v>
      </c>
      <c r="G85" s="13">
        <v>4</v>
      </c>
      <c r="H85" s="13" t="s">
        <v>556</v>
      </c>
      <c r="I85" s="13" t="s">
        <v>723</v>
      </c>
      <c r="J85" s="13">
        <v>78</v>
      </c>
      <c r="K85" s="13" t="s">
        <v>500</v>
      </c>
      <c r="L85" s="13">
        <v>0</v>
      </c>
      <c r="M85" s="13">
        <v>8</v>
      </c>
    </row>
    <row r="86" spans="1:13">
      <c r="A86" s="13" t="s">
        <v>187</v>
      </c>
      <c r="B86" s="13"/>
      <c r="C86" s="13" t="s">
        <v>724</v>
      </c>
      <c r="D86" s="13" t="s">
        <v>495</v>
      </c>
      <c r="E86" s="13" t="s">
        <v>725</v>
      </c>
      <c r="F86" s="13" t="s">
        <v>513</v>
      </c>
      <c r="G86" s="13">
        <v>8</v>
      </c>
      <c r="H86" s="13" t="s">
        <v>726</v>
      </c>
      <c r="I86" s="13" t="s">
        <v>727</v>
      </c>
      <c r="J86" s="13">
        <v>105</v>
      </c>
      <c r="K86" s="13" t="s">
        <v>500</v>
      </c>
      <c r="L86" s="13">
        <v>0</v>
      </c>
      <c r="M86" s="13">
        <v>4.75</v>
      </c>
    </row>
    <row r="87" spans="1:13">
      <c r="A87" s="13" t="s">
        <v>190</v>
      </c>
      <c r="B87" s="13"/>
      <c r="C87" s="13" t="s">
        <v>534</v>
      </c>
      <c r="D87" s="13" t="s">
        <v>495</v>
      </c>
      <c r="E87" s="13" t="s">
        <v>535</v>
      </c>
      <c r="F87" s="13" t="s">
        <v>517</v>
      </c>
      <c r="G87" s="13">
        <v>8</v>
      </c>
      <c r="H87" s="13" t="s">
        <v>543</v>
      </c>
      <c r="I87" s="13" t="s">
        <v>728</v>
      </c>
      <c r="J87" s="13">
        <v>35</v>
      </c>
      <c r="K87" s="13" t="s">
        <v>500</v>
      </c>
      <c r="L87" s="13">
        <v>0</v>
      </c>
      <c r="M87" s="13">
        <v>8</v>
      </c>
    </row>
    <row r="88" spans="1:13">
      <c r="A88" s="13" t="s">
        <v>192</v>
      </c>
      <c r="B88" s="13"/>
      <c r="C88" s="13" t="s">
        <v>558</v>
      </c>
      <c r="D88" s="13" t="s">
        <v>495</v>
      </c>
      <c r="E88" s="13" t="s">
        <v>559</v>
      </c>
      <c r="F88" s="13" t="s">
        <v>517</v>
      </c>
      <c r="G88" s="13">
        <v>5</v>
      </c>
      <c r="H88" s="13" t="s">
        <v>503</v>
      </c>
      <c r="I88" s="13" t="s">
        <v>729</v>
      </c>
      <c r="J88" s="13">
        <v>135</v>
      </c>
      <c r="K88" s="13" t="s">
        <v>500</v>
      </c>
      <c r="L88" s="13">
        <v>0</v>
      </c>
      <c r="M88" s="13">
        <v>6.5</v>
      </c>
    </row>
    <row r="89" spans="1:13">
      <c r="A89" s="13" t="s">
        <v>194</v>
      </c>
      <c r="B89" s="13"/>
      <c r="C89" s="13" t="s">
        <v>675</v>
      </c>
      <c r="D89" s="13" t="s">
        <v>495</v>
      </c>
      <c r="E89" s="13" t="s">
        <v>676</v>
      </c>
      <c r="F89" s="13" t="s">
        <v>507</v>
      </c>
      <c r="G89" s="13">
        <v>10</v>
      </c>
      <c r="H89" s="13" t="s">
        <v>503</v>
      </c>
      <c r="I89" s="13" t="s">
        <v>730</v>
      </c>
      <c r="J89" s="13">
        <v>115</v>
      </c>
      <c r="K89" s="13" t="s">
        <v>500</v>
      </c>
      <c r="L89" s="13">
        <v>0</v>
      </c>
      <c r="M89" s="13">
        <v>4.5</v>
      </c>
    </row>
    <row r="90" spans="1:13">
      <c r="A90" s="13" t="s">
        <v>196</v>
      </c>
      <c r="B90" s="13"/>
      <c r="C90" s="13" t="s">
        <v>604</v>
      </c>
      <c r="D90" s="13" t="s">
        <v>495</v>
      </c>
      <c r="E90" s="13" t="s">
        <v>605</v>
      </c>
      <c r="F90" s="13" t="s">
        <v>507</v>
      </c>
      <c r="G90" s="13">
        <v>2</v>
      </c>
      <c r="H90" s="13" t="s">
        <v>726</v>
      </c>
      <c r="I90" s="13" t="s">
        <v>731</v>
      </c>
      <c r="J90" s="13">
        <v>192</v>
      </c>
      <c r="K90" s="13" t="s">
        <v>510</v>
      </c>
      <c r="L90" s="13">
        <v>50</v>
      </c>
      <c r="M90" s="13">
        <v>5.25</v>
      </c>
    </row>
    <row r="91" spans="1:13">
      <c r="A91" s="13" t="s">
        <v>198</v>
      </c>
      <c r="B91" s="13"/>
      <c r="C91" s="13" t="s">
        <v>732</v>
      </c>
      <c r="D91" s="13" t="s">
        <v>495</v>
      </c>
      <c r="E91" s="13" t="s">
        <v>733</v>
      </c>
      <c r="F91" s="13" t="s">
        <v>513</v>
      </c>
      <c r="G91" s="13">
        <v>5</v>
      </c>
      <c r="H91" s="13" t="s">
        <v>698</v>
      </c>
      <c r="I91" s="13" t="s">
        <v>734</v>
      </c>
      <c r="J91" s="13">
        <v>267</v>
      </c>
      <c r="K91" s="13" t="s">
        <v>500</v>
      </c>
      <c r="L91" s="13">
        <v>0</v>
      </c>
      <c r="M91" s="13">
        <v>3.5</v>
      </c>
    </row>
    <row r="92" spans="1:13">
      <c r="A92" s="13" t="s">
        <v>200</v>
      </c>
      <c r="B92" s="13"/>
      <c r="C92" s="13" t="s">
        <v>735</v>
      </c>
      <c r="D92" s="13" t="s">
        <v>495</v>
      </c>
      <c r="E92" s="13" t="s">
        <v>736</v>
      </c>
      <c r="F92" s="13" t="s">
        <v>517</v>
      </c>
      <c r="G92" s="13">
        <v>4</v>
      </c>
      <c r="H92" s="13" t="s">
        <v>522</v>
      </c>
      <c r="I92" s="13" t="s">
        <v>737</v>
      </c>
      <c r="J92" s="13">
        <v>92</v>
      </c>
      <c r="K92" s="13" t="s">
        <v>500</v>
      </c>
      <c r="L92" s="13">
        <v>0</v>
      </c>
      <c r="M92" s="13">
        <v>6.75</v>
      </c>
    </row>
    <row r="93" spans="1:13">
      <c r="A93" s="13" t="s">
        <v>202</v>
      </c>
      <c r="B93" s="13"/>
      <c r="C93" s="13" t="s">
        <v>548</v>
      </c>
      <c r="D93" s="13" t="s">
        <v>495</v>
      </c>
      <c r="E93" s="13" t="s">
        <v>549</v>
      </c>
      <c r="F93" s="13" t="s">
        <v>507</v>
      </c>
      <c r="G93" s="13">
        <v>8</v>
      </c>
      <c r="H93" s="13" t="s">
        <v>556</v>
      </c>
      <c r="I93" s="13" t="s">
        <v>730</v>
      </c>
      <c r="J93" s="13">
        <v>181</v>
      </c>
      <c r="K93" s="13" t="s">
        <v>527</v>
      </c>
      <c r="L93" s="13">
        <v>25</v>
      </c>
      <c r="M93" s="13">
        <v>4.75</v>
      </c>
    </row>
    <row r="94" spans="1:13">
      <c r="A94" s="13" t="s">
        <v>204</v>
      </c>
      <c r="B94" s="13"/>
      <c r="C94" s="13" t="s">
        <v>738</v>
      </c>
      <c r="D94" s="13" t="s">
        <v>495</v>
      </c>
      <c r="E94" s="13" t="s">
        <v>739</v>
      </c>
      <c r="F94" s="13" t="s">
        <v>517</v>
      </c>
      <c r="G94" s="13">
        <v>9</v>
      </c>
      <c r="H94" s="13" t="s">
        <v>543</v>
      </c>
      <c r="I94" s="13" t="s">
        <v>740</v>
      </c>
      <c r="J94" s="13">
        <v>21</v>
      </c>
      <c r="K94" s="13" t="s">
        <v>527</v>
      </c>
      <c r="L94" s="13">
        <v>25</v>
      </c>
      <c r="M94" s="13">
        <v>8.25</v>
      </c>
    </row>
    <row r="95" spans="1:13">
      <c r="A95" s="13" t="s">
        <v>206</v>
      </c>
      <c r="B95" s="13"/>
      <c r="C95" s="13" t="s">
        <v>741</v>
      </c>
      <c r="D95" s="13" t="s">
        <v>495</v>
      </c>
      <c r="E95" s="13" t="s">
        <v>742</v>
      </c>
      <c r="F95" s="13" t="s">
        <v>517</v>
      </c>
      <c r="G95" s="13">
        <v>7</v>
      </c>
      <c r="H95" s="13" t="s">
        <v>518</v>
      </c>
      <c r="I95" s="13" t="s">
        <v>743</v>
      </c>
      <c r="J95" s="13">
        <v>60</v>
      </c>
      <c r="K95" s="13" t="s">
        <v>527</v>
      </c>
      <c r="L95" s="13">
        <v>25</v>
      </c>
      <c r="M95" s="13">
        <v>6.75</v>
      </c>
    </row>
    <row r="96" spans="1:13">
      <c r="A96" s="13" t="s">
        <v>208</v>
      </c>
      <c r="B96" s="13"/>
      <c r="C96" s="13" t="s">
        <v>744</v>
      </c>
      <c r="D96" s="13" t="s">
        <v>495</v>
      </c>
      <c r="E96" s="13" t="s">
        <v>745</v>
      </c>
      <c r="F96" s="13" t="s">
        <v>513</v>
      </c>
      <c r="G96" s="13">
        <v>5</v>
      </c>
      <c r="H96" s="13" t="s">
        <v>522</v>
      </c>
      <c r="I96" s="13" t="s">
        <v>644</v>
      </c>
      <c r="J96" s="13">
        <v>140</v>
      </c>
      <c r="K96" s="13" t="s">
        <v>500</v>
      </c>
      <c r="L96" s="13">
        <v>0</v>
      </c>
      <c r="M96" s="13">
        <v>5.75</v>
      </c>
    </row>
    <row r="97" spans="1:13">
      <c r="A97" s="13" t="s">
        <v>210</v>
      </c>
      <c r="B97" s="13"/>
      <c r="C97" s="13" t="s">
        <v>663</v>
      </c>
      <c r="D97" s="13" t="s">
        <v>495</v>
      </c>
      <c r="E97" s="13" t="s">
        <v>664</v>
      </c>
      <c r="F97" s="13" t="s">
        <v>507</v>
      </c>
      <c r="G97" s="13">
        <v>4</v>
      </c>
      <c r="H97" s="13" t="s">
        <v>571</v>
      </c>
      <c r="I97" s="13" t="s">
        <v>746</v>
      </c>
      <c r="J97" s="13">
        <v>199</v>
      </c>
      <c r="K97" s="13" t="s">
        <v>527</v>
      </c>
      <c r="L97" s="13">
        <v>25</v>
      </c>
      <c r="M97" s="13">
        <v>5.75</v>
      </c>
    </row>
    <row r="98" spans="1:13">
      <c r="A98" s="13" t="s">
        <v>212</v>
      </c>
      <c r="B98" s="13"/>
      <c r="C98" s="13" t="s">
        <v>715</v>
      </c>
      <c r="D98" s="13" t="s">
        <v>495</v>
      </c>
      <c r="E98" s="13" t="s">
        <v>716</v>
      </c>
      <c r="F98" s="13" t="s">
        <v>497</v>
      </c>
      <c r="G98" s="13">
        <v>7</v>
      </c>
      <c r="H98" s="13" t="s">
        <v>522</v>
      </c>
      <c r="I98" s="13" t="s">
        <v>747</v>
      </c>
      <c r="J98" s="13">
        <v>134</v>
      </c>
      <c r="K98" s="13" t="s">
        <v>500</v>
      </c>
      <c r="L98" s="13">
        <v>0</v>
      </c>
      <c r="M98" s="13">
        <v>5.75</v>
      </c>
    </row>
    <row r="99" spans="1:13">
      <c r="A99" s="13" t="s">
        <v>214</v>
      </c>
      <c r="B99" s="13"/>
      <c r="C99" s="13" t="s">
        <v>748</v>
      </c>
      <c r="D99" s="13" t="s">
        <v>495</v>
      </c>
      <c r="E99" s="13" t="s">
        <v>749</v>
      </c>
      <c r="F99" s="13" t="s">
        <v>517</v>
      </c>
      <c r="G99" s="13">
        <v>4</v>
      </c>
      <c r="H99" s="13" t="s">
        <v>518</v>
      </c>
      <c r="I99" s="13" t="s">
        <v>750</v>
      </c>
      <c r="J99" s="13">
        <v>54</v>
      </c>
      <c r="K99" s="13" t="s">
        <v>500</v>
      </c>
      <c r="L99" s="13">
        <v>0</v>
      </c>
      <c r="M99" s="13">
        <v>8.25</v>
      </c>
    </row>
    <row r="100" spans="1:13">
      <c r="A100" s="13" t="s">
        <v>216</v>
      </c>
      <c r="B100" s="13"/>
      <c r="C100" s="13" t="s">
        <v>751</v>
      </c>
      <c r="D100" s="13" t="s">
        <v>495</v>
      </c>
      <c r="E100" s="13" t="s">
        <v>752</v>
      </c>
      <c r="F100" s="13" t="s">
        <v>513</v>
      </c>
      <c r="G100" s="13">
        <v>6</v>
      </c>
      <c r="H100" s="13" t="s">
        <v>518</v>
      </c>
      <c r="I100" s="13" t="s">
        <v>753</v>
      </c>
      <c r="J100" s="13">
        <v>168</v>
      </c>
      <c r="K100" s="13" t="s">
        <v>500</v>
      </c>
      <c r="L100" s="13">
        <v>0</v>
      </c>
      <c r="M100" s="13">
        <v>6.25</v>
      </c>
    </row>
    <row r="101" spans="1:13">
      <c r="A101" s="13" t="s">
        <v>218</v>
      </c>
      <c r="B101" s="13"/>
      <c r="C101" s="13" t="s">
        <v>754</v>
      </c>
      <c r="D101" s="13" t="s">
        <v>495</v>
      </c>
      <c r="E101" s="13" t="s">
        <v>755</v>
      </c>
      <c r="F101" s="13" t="s">
        <v>513</v>
      </c>
      <c r="G101" s="13">
        <v>7</v>
      </c>
      <c r="H101" s="13" t="s">
        <v>518</v>
      </c>
      <c r="I101" s="13" t="s">
        <v>756</v>
      </c>
      <c r="J101" s="13">
        <v>135</v>
      </c>
      <c r="K101" s="13" t="s">
        <v>500</v>
      </c>
      <c r="L101" s="13">
        <v>0</v>
      </c>
      <c r="M101" s="13">
        <v>5.75</v>
      </c>
    </row>
    <row r="102" spans="1:13">
      <c r="A102" s="13" t="s">
        <v>220</v>
      </c>
      <c r="B102" s="13"/>
      <c r="C102" s="13" t="s">
        <v>554</v>
      </c>
      <c r="D102" s="13" t="s">
        <v>495</v>
      </c>
      <c r="E102" s="13" t="s">
        <v>555</v>
      </c>
      <c r="F102" s="13" t="s">
        <v>513</v>
      </c>
      <c r="G102" s="13">
        <v>8</v>
      </c>
      <c r="H102" s="13" t="s">
        <v>508</v>
      </c>
      <c r="I102" s="13" t="s">
        <v>757</v>
      </c>
      <c r="J102" s="13">
        <v>203</v>
      </c>
      <c r="K102" s="13" t="s">
        <v>500</v>
      </c>
      <c r="L102" s="13">
        <v>0</v>
      </c>
      <c r="M102" s="13">
        <v>4.75</v>
      </c>
    </row>
    <row r="103" spans="1:13">
      <c r="A103" s="13" t="s">
        <v>222</v>
      </c>
      <c r="B103" s="13"/>
      <c r="C103" s="13" t="s">
        <v>758</v>
      </c>
      <c r="D103" s="13" t="s">
        <v>495</v>
      </c>
      <c r="E103" s="13" t="s">
        <v>759</v>
      </c>
      <c r="F103" s="13" t="s">
        <v>513</v>
      </c>
      <c r="G103" s="13">
        <v>7</v>
      </c>
      <c r="H103" s="13" t="s">
        <v>518</v>
      </c>
      <c r="I103" s="13" t="s">
        <v>760</v>
      </c>
      <c r="J103" s="13">
        <v>133</v>
      </c>
      <c r="K103" s="13" t="s">
        <v>500</v>
      </c>
      <c r="L103" s="13">
        <v>0</v>
      </c>
      <c r="M103" s="13">
        <v>3.5</v>
      </c>
    </row>
    <row r="104" spans="1:13">
      <c r="A104" s="13" t="s">
        <v>224</v>
      </c>
      <c r="B104" s="13"/>
      <c r="C104" s="13" t="s">
        <v>761</v>
      </c>
      <c r="D104" s="13" t="s">
        <v>495</v>
      </c>
      <c r="E104" s="13" t="s">
        <v>762</v>
      </c>
      <c r="F104" s="13" t="s">
        <v>517</v>
      </c>
      <c r="G104" s="13">
        <v>3</v>
      </c>
      <c r="H104" s="13" t="s">
        <v>508</v>
      </c>
      <c r="I104" s="13" t="s">
        <v>763</v>
      </c>
      <c r="J104" s="13">
        <v>142</v>
      </c>
      <c r="K104" s="13" t="s">
        <v>500</v>
      </c>
      <c r="L104" s="13">
        <v>0</v>
      </c>
      <c r="M104" s="13">
        <v>6.5</v>
      </c>
    </row>
    <row r="105" spans="1:13">
      <c r="A105" s="13" t="s">
        <v>226</v>
      </c>
      <c r="B105" s="13"/>
      <c r="C105" s="13" t="s">
        <v>622</v>
      </c>
      <c r="D105" s="13" t="s">
        <v>495</v>
      </c>
      <c r="E105" s="13" t="s">
        <v>623</v>
      </c>
      <c r="F105" s="13" t="s">
        <v>513</v>
      </c>
      <c r="G105" s="13">
        <v>5</v>
      </c>
      <c r="H105" s="13" t="s">
        <v>522</v>
      </c>
      <c r="I105" s="13" t="s">
        <v>764</v>
      </c>
      <c r="J105" s="13">
        <v>156</v>
      </c>
      <c r="K105" s="13" t="s">
        <v>527</v>
      </c>
      <c r="L105" s="13">
        <v>25</v>
      </c>
      <c r="M105" s="13">
        <v>4.75</v>
      </c>
    </row>
    <row r="106" spans="1:13">
      <c r="A106" s="13" t="s">
        <v>228</v>
      </c>
      <c r="B106" s="13"/>
      <c r="C106" s="13" t="s">
        <v>765</v>
      </c>
      <c r="D106" s="13" t="s">
        <v>495</v>
      </c>
      <c r="E106" s="13" t="s">
        <v>766</v>
      </c>
      <c r="F106" s="13" t="s">
        <v>513</v>
      </c>
      <c r="G106" s="13">
        <v>1</v>
      </c>
      <c r="H106" s="13" t="s">
        <v>536</v>
      </c>
      <c r="I106" s="13" t="s">
        <v>537</v>
      </c>
      <c r="J106" s="13">
        <v>408</v>
      </c>
      <c r="K106" s="13" t="s">
        <v>500</v>
      </c>
      <c r="L106" s="13">
        <v>0</v>
      </c>
      <c r="M106" s="13">
        <v>6.25</v>
      </c>
    </row>
    <row r="107" spans="1:13">
      <c r="A107" s="13" t="s">
        <v>230</v>
      </c>
      <c r="B107" s="13"/>
      <c r="C107" s="13" t="s">
        <v>645</v>
      </c>
      <c r="D107" s="13" t="s">
        <v>495</v>
      </c>
      <c r="E107" s="13" t="s">
        <v>646</v>
      </c>
      <c r="F107" s="13" t="s">
        <v>507</v>
      </c>
      <c r="G107" s="13">
        <v>2</v>
      </c>
      <c r="H107" s="13" t="s">
        <v>498</v>
      </c>
      <c r="I107" s="13" t="s">
        <v>767</v>
      </c>
      <c r="J107" s="13">
        <v>141</v>
      </c>
      <c r="K107" s="13" t="s">
        <v>527</v>
      </c>
      <c r="L107" s="13">
        <v>25</v>
      </c>
      <c r="M107" s="13">
        <v>4</v>
      </c>
    </row>
    <row r="108" spans="1:13">
      <c r="A108" s="13" t="s">
        <v>232</v>
      </c>
      <c r="B108" s="13"/>
      <c r="C108" s="13" t="s">
        <v>768</v>
      </c>
      <c r="D108" s="13" t="s">
        <v>495</v>
      </c>
      <c r="E108" s="13" t="s">
        <v>769</v>
      </c>
      <c r="F108" s="13" t="s">
        <v>513</v>
      </c>
      <c r="G108" s="13">
        <v>2</v>
      </c>
      <c r="H108" s="13" t="s">
        <v>508</v>
      </c>
      <c r="I108" s="13" t="s">
        <v>770</v>
      </c>
      <c r="J108" s="13">
        <v>180</v>
      </c>
      <c r="K108" s="13" t="s">
        <v>500</v>
      </c>
      <c r="L108" s="13">
        <v>0</v>
      </c>
      <c r="M108" s="13">
        <v>6</v>
      </c>
    </row>
    <row r="109" spans="1:13">
      <c r="A109" s="13" t="s">
        <v>234</v>
      </c>
      <c r="B109" s="13"/>
      <c r="C109" s="13" t="s">
        <v>771</v>
      </c>
      <c r="D109" s="13" t="s">
        <v>495</v>
      </c>
      <c r="E109" s="13" t="s">
        <v>772</v>
      </c>
      <c r="F109" s="13" t="s">
        <v>507</v>
      </c>
      <c r="G109" s="13">
        <v>5</v>
      </c>
      <c r="H109" s="13" t="s">
        <v>522</v>
      </c>
      <c r="I109" s="13" t="s">
        <v>773</v>
      </c>
      <c r="J109" s="13">
        <v>96</v>
      </c>
      <c r="K109" s="13" t="s">
        <v>500</v>
      </c>
      <c r="L109" s="13">
        <v>0</v>
      </c>
      <c r="M109" s="13">
        <v>4.75</v>
      </c>
    </row>
    <row r="110" spans="1:13">
      <c r="A110" s="13" t="s">
        <v>236</v>
      </c>
      <c r="B110" s="13"/>
      <c r="C110" s="13" t="s">
        <v>630</v>
      </c>
      <c r="D110" s="13" t="s">
        <v>495</v>
      </c>
      <c r="E110" s="13" t="s">
        <v>631</v>
      </c>
      <c r="F110" s="13" t="s">
        <v>497</v>
      </c>
      <c r="G110" s="13">
        <v>6</v>
      </c>
      <c r="H110" s="13" t="s">
        <v>518</v>
      </c>
      <c r="I110" s="13" t="s">
        <v>774</v>
      </c>
      <c r="J110" s="13">
        <v>110</v>
      </c>
      <c r="K110" s="13" t="s">
        <v>500</v>
      </c>
      <c r="L110" s="13">
        <v>0</v>
      </c>
      <c r="M110" s="13">
        <v>7.5</v>
      </c>
    </row>
    <row r="111" spans="1:13">
      <c r="A111" s="13" t="s">
        <v>238</v>
      </c>
      <c r="B111" s="13"/>
      <c r="C111" s="13" t="s">
        <v>538</v>
      </c>
      <c r="D111" s="13" t="s">
        <v>495</v>
      </c>
      <c r="E111" s="13" t="s">
        <v>539</v>
      </c>
      <c r="F111" s="13" t="s">
        <v>497</v>
      </c>
      <c r="G111" s="13">
        <v>8</v>
      </c>
      <c r="H111" s="13" t="s">
        <v>726</v>
      </c>
      <c r="I111" s="13" t="s">
        <v>775</v>
      </c>
      <c r="J111" s="13">
        <v>160</v>
      </c>
      <c r="K111" s="13" t="s">
        <v>500</v>
      </c>
      <c r="L111" s="13">
        <v>0</v>
      </c>
      <c r="M111" s="13">
        <v>7.5</v>
      </c>
    </row>
    <row r="112" spans="1:13">
      <c r="A112" s="13" t="s">
        <v>240</v>
      </c>
      <c r="B112" s="13"/>
      <c r="C112" s="13" t="s">
        <v>613</v>
      </c>
      <c r="D112" s="13" t="s">
        <v>495</v>
      </c>
      <c r="E112" s="13" t="s">
        <v>614</v>
      </c>
      <c r="F112" s="13" t="s">
        <v>517</v>
      </c>
      <c r="G112" s="13">
        <v>4</v>
      </c>
      <c r="H112" s="13" t="s">
        <v>536</v>
      </c>
      <c r="I112" s="13" t="s">
        <v>776</v>
      </c>
      <c r="J112" s="13">
        <v>35</v>
      </c>
      <c r="K112" s="13" t="s">
        <v>500</v>
      </c>
      <c r="L112" s="13">
        <v>0</v>
      </c>
      <c r="M112" s="13">
        <v>12.5</v>
      </c>
    </row>
    <row r="113" spans="1:13">
      <c r="A113" s="13" t="s">
        <v>242</v>
      </c>
      <c r="B113" s="13"/>
      <c r="C113" s="13" t="s">
        <v>777</v>
      </c>
      <c r="D113" s="13" t="s">
        <v>495</v>
      </c>
      <c r="E113" s="13" t="s">
        <v>778</v>
      </c>
      <c r="F113" s="13" t="s">
        <v>497</v>
      </c>
      <c r="G113" s="13">
        <v>6</v>
      </c>
      <c r="H113" s="13" t="s">
        <v>518</v>
      </c>
      <c r="I113" s="13" t="s">
        <v>779</v>
      </c>
      <c r="J113" s="13">
        <v>183</v>
      </c>
      <c r="K113" s="13" t="s">
        <v>500</v>
      </c>
      <c r="L113" s="13">
        <v>0</v>
      </c>
      <c r="M113" s="13">
        <v>7.5</v>
      </c>
    </row>
    <row r="114" spans="1:13">
      <c r="A114" s="13" t="s">
        <v>244</v>
      </c>
      <c r="B114" s="13"/>
      <c r="C114" s="13" t="s">
        <v>780</v>
      </c>
      <c r="D114" s="13" t="s">
        <v>495</v>
      </c>
      <c r="E114" s="13" t="s">
        <v>781</v>
      </c>
      <c r="F114" s="13" t="s">
        <v>507</v>
      </c>
      <c r="G114" s="13">
        <v>6</v>
      </c>
      <c r="H114" s="13" t="s">
        <v>522</v>
      </c>
      <c r="I114" s="13" t="s">
        <v>782</v>
      </c>
      <c r="J114" s="13">
        <v>150</v>
      </c>
      <c r="K114" s="13" t="s">
        <v>510</v>
      </c>
      <c r="L114" s="13">
        <v>25</v>
      </c>
      <c r="M114" s="13">
        <v>6</v>
      </c>
    </row>
    <row r="115" spans="1:13">
      <c r="A115" s="13" t="s">
        <v>246</v>
      </c>
      <c r="B115" s="13"/>
      <c r="C115" s="13" t="s">
        <v>783</v>
      </c>
      <c r="D115" s="13" t="s">
        <v>495</v>
      </c>
      <c r="E115" s="13" t="s">
        <v>784</v>
      </c>
      <c r="F115" s="13" t="s">
        <v>507</v>
      </c>
      <c r="G115" s="13">
        <v>6</v>
      </c>
      <c r="H115" s="13" t="s">
        <v>522</v>
      </c>
      <c r="I115" s="13" t="s">
        <v>785</v>
      </c>
      <c r="J115" s="13">
        <v>171</v>
      </c>
      <c r="K115" s="13" t="s">
        <v>510</v>
      </c>
      <c r="L115" s="13">
        <v>25</v>
      </c>
      <c r="M115" s="13">
        <v>5.5</v>
      </c>
    </row>
    <row r="116" spans="1:13">
      <c r="A116" s="13" t="s">
        <v>248</v>
      </c>
      <c r="B116" s="13"/>
      <c r="C116" s="13" t="s">
        <v>558</v>
      </c>
      <c r="D116" s="13" t="s">
        <v>495</v>
      </c>
      <c r="E116" s="13" t="s">
        <v>559</v>
      </c>
      <c r="F116" s="13" t="s">
        <v>517</v>
      </c>
      <c r="G116" s="13">
        <v>2</v>
      </c>
      <c r="H116" s="13" t="s">
        <v>508</v>
      </c>
      <c r="I116" s="13" t="s">
        <v>786</v>
      </c>
      <c r="J116" s="13">
        <v>68</v>
      </c>
      <c r="K116" s="13" t="s">
        <v>500</v>
      </c>
      <c r="L116" s="13">
        <v>0</v>
      </c>
      <c r="M116" s="13">
        <v>6.5</v>
      </c>
    </row>
    <row r="117" spans="1:13">
      <c r="A117" s="13" t="s">
        <v>250</v>
      </c>
      <c r="B117" s="13"/>
      <c r="C117" s="13" t="s">
        <v>787</v>
      </c>
      <c r="D117" s="13" t="s">
        <v>495</v>
      </c>
      <c r="E117" s="13" t="s">
        <v>788</v>
      </c>
      <c r="F117" s="13" t="s">
        <v>513</v>
      </c>
      <c r="G117" s="13">
        <v>4</v>
      </c>
      <c r="H117" s="13" t="s">
        <v>522</v>
      </c>
      <c r="I117" s="13" t="s">
        <v>789</v>
      </c>
      <c r="J117" s="13">
        <v>287</v>
      </c>
      <c r="K117" s="13" t="s">
        <v>500</v>
      </c>
      <c r="L117" s="13">
        <v>0</v>
      </c>
      <c r="M117" s="13">
        <v>3.5</v>
      </c>
    </row>
    <row r="118" spans="1:13">
      <c r="A118" s="13" t="s">
        <v>252</v>
      </c>
      <c r="B118" s="13"/>
      <c r="C118" s="13" t="s">
        <v>741</v>
      </c>
      <c r="D118" s="13" t="s">
        <v>495</v>
      </c>
      <c r="E118" s="13" t="s">
        <v>742</v>
      </c>
      <c r="F118" s="13" t="s">
        <v>517</v>
      </c>
      <c r="G118" s="13">
        <v>5</v>
      </c>
      <c r="H118" s="13" t="s">
        <v>522</v>
      </c>
      <c r="I118" s="13" t="s">
        <v>790</v>
      </c>
      <c r="J118" s="13">
        <v>65</v>
      </c>
      <c r="K118" s="13" t="s">
        <v>527</v>
      </c>
      <c r="L118" s="13">
        <v>25</v>
      </c>
      <c r="M118" s="13">
        <v>6.75</v>
      </c>
    </row>
    <row r="119" spans="1:13">
      <c r="A119" s="13" t="s">
        <v>254</v>
      </c>
      <c r="B119" s="13"/>
      <c r="C119" s="13" t="s">
        <v>791</v>
      </c>
      <c r="D119" s="13" t="s">
        <v>495</v>
      </c>
      <c r="E119" s="13" t="s">
        <v>792</v>
      </c>
      <c r="F119" s="13" t="s">
        <v>513</v>
      </c>
      <c r="G119" s="13">
        <v>5</v>
      </c>
      <c r="H119" s="13" t="s">
        <v>518</v>
      </c>
      <c r="I119" s="13" t="s">
        <v>793</v>
      </c>
      <c r="J119" s="13">
        <v>235</v>
      </c>
      <c r="K119" s="13" t="s">
        <v>510</v>
      </c>
      <c r="L119" s="13">
        <v>50</v>
      </c>
      <c r="M119" s="13">
        <v>4.75</v>
      </c>
    </row>
    <row r="120" spans="1:13">
      <c r="A120" s="13" t="s">
        <v>256</v>
      </c>
      <c r="B120" s="13"/>
      <c r="C120" s="13" t="s">
        <v>794</v>
      </c>
      <c r="D120" s="13" t="s">
        <v>495</v>
      </c>
      <c r="E120" s="13" t="s">
        <v>795</v>
      </c>
      <c r="F120" s="13" t="s">
        <v>497</v>
      </c>
      <c r="G120" s="13">
        <v>1</v>
      </c>
      <c r="H120" s="13" t="s">
        <v>536</v>
      </c>
      <c r="I120" s="13" t="s">
        <v>537</v>
      </c>
      <c r="J120" s="13">
        <v>161</v>
      </c>
      <c r="K120" s="13" t="s">
        <v>500</v>
      </c>
      <c r="L120" s="13">
        <v>0</v>
      </c>
      <c r="M120" s="13">
        <v>5.75</v>
      </c>
    </row>
    <row r="121" spans="1:13">
      <c r="A121" s="13" t="s">
        <v>258</v>
      </c>
      <c r="B121" s="13"/>
      <c r="C121" s="13" t="s">
        <v>524</v>
      </c>
      <c r="D121" s="13" t="s">
        <v>495</v>
      </c>
      <c r="E121" s="13" t="s">
        <v>525</v>
      </c>
      <c r="F121" s="13" t="s">
        <v>513</v>
      </c>
      <c r="G121" s="13">
        <v>3</v>
      </c>
      <c r="H121" s="13" t="s">
        <v>508</v>
      </c>
      <c r="I121" s="13" t="s">
        <v>796</v>
      </c>
      <c r="J121" s="13">
        <v>176</v>
      </c>
      <c r="K121" s="13" t="s">
        <v>527</v>
      </c>
      <c r="L121" s="13">
        <v>25</v>
      </c>
      <c r="M121" s="13">
        <v>6</v>
      </c>
    </row>
    <row r="122" spans="1:13">
      <c r="A122" s="13" t="s">
        <v>260</v>
      </c>
      <c r="B122" s="13"/>
      <c r="C122" s="13" t="s">
        <v>787</v>
      </c>
      <c r="D122" s="13" t="s">
        <v>495</v>
      </c>
      <c r="E122" s="13" t="s">
        <v>788</v>
      </c>
      <c r="F122" s="13" t="s">
        <v>513</v>
      </c>
      <c r="G122" s="13">
        <v>6</v>
      </c>
      <c r="H122" s="13" t="s">
        <v>543</v>
      </c>
      <c r="I122" s="13" t="s">
        <v>720</v>
      </c>
      <c r="J122" s="13">
        <v>144</v>
      </c>
      <c r="K122" s="13" t="s">
        <v>500</v>
      </c>
      <c r="L122" s="13">
        <v>0</v>
      </c>
      <c r="M122" s="13">
        <v>3.5</v>
      </c>
    </row>
    <row r="123" spans="1:13">
      <c r="A123" s="13" t="s">
        <v>262</v>
      </c>
      <c r="B123" s="13"/>
      <c r="C123" s="13" t="s">
        <v>797</v>
      </c>
      <c r="D123" s="13" t="s">
        <v>495</v>
      </c>
      <c r="E123" s="13" t="s">
        <v>798</v>
      </c>
      <c r="F123" s="13" t="s">
        <v>497</v>
      </c>
      <c r="G123" s="13">
        <v>6</v>
      </c>
      <c r="H123" s="13" t="s">
        <v>556</v>
      </c>
      <c r="I123" s="13" t="s">
        <v>674</v>
      </c>
      <c r="J123" s="13">
        <v>157</v>
      </c>
      <c r="K123" s="13" t="s">
        <v>500</v>
      </c>
      <c r="L123" s="13">
        <v>0</v>
      </c>
      <c r="M123" s="13">
        <v>5.75</v>
      </c>
    </row>
    <row r="124" spans="1:13">
      <c r="A124" s="13" t="s">
        <v>264</v>
      </c>
      <c r="B124" s="13"/>
      <c r="C124" s="13" t="s">
        <v>598</v>
      </c>
      <c r="D124" s="13" t="s">
        <v>495</v>
      </c>
      <c r="E124" s="13" t="s">
        <v>599</v>
      </c>
      <c r="F124" s="13" t="s">
        <v>497</v>
      </c>
      <c r="G124" s="13">
        <v>2</v>
      </c>
      <c r="H124" s="13" t="s">
        <v>543</v>
      </c>
      <c r="I124" s="13" t="s">
        <v>799</v>
      </c>
      <c r="J124" s="13">
        <v>162</v>
      </c>
      <c r="K124" s="13" t="s">
        <v>527</v>
      </c>
      <c r="L124" s="13">
        <v>25</v>
      </c>
      <c r="M124" s="13">
        <v>6.75</v>
      </c>
    </row>
    <row r="125" spans="1:13">
      <c r="A125" s="13" t="s">
        <v>266</v>
      </c>
      <c r="B125" s="13"/>
      <c r="C125" s="13" t="s">
        <v>800</v>
      </c>
      <c r="D125" s="13" t="s">
        <v>495</v>
      </c>
      <c r="E125" s="13" t="s">
        <v>801</v>
      </c>
      <c r="F125" s="13" t="s">
        <v>517</v>
      </c>
      <c r="G125" s="13">
        <v>2</v>
      </c>
      <c r="H125" s="13" t="s">
        <v>508</v>
      </c>
      <c r="I125" s="13" t="s">
        <v>802</v>
      </c>
      <c r="J125" s="13">
        <v>317</v>
      </c>
      <c r="K125" s="13" t="s">
        <v>500</v>
      </c>
      <c r="L125" s="13">
        <v>0</v>
      </c>
      <c r="M125" s="13">
        <v>6.5</v>
      </c>
    </row>
    <row r="126" spans="1:13">
      <c r="A126" s="13" t="s">
        <v>268</v>
      </c>
      <c r="B126" s="13"/>
      <c r="C126" s="13" t="s">
        <v>803</v>
      </c>
      <c r="D126" s="13" t="s">
        <v>495</v>
      </c>
      <c r="E126" s="13" t="s">
        <v>804</v>
      </c>
      <c r="F126" s="13" t="s">
        <v>517</v>
      </c>
      <c r="G126" s="13">
        <v>6</v>
      </c>
      <c r="H126" s="13" t="s">
        <v>498</v>
      </c>
      <c r="I126" s="13" t="s">
        <v>805</v>
      </c>
      <c r="J126" s="13">
        <v>190</v>
      </c>
      <c r="K126" s="13" t="s">
        <v>500</v>
      </c>
      <c r="L126" s="13">
        <v>0</v>
      </c>
      <c r="M126" s="13">
        <v>6.5</v>
      </c>
    </row>
    <row r="127" spans="1:13">
      <c r="A127" s="13" t="s">
        <v>270</v>
      </c>
      <c r="B127" s="13"/>
      <c r="C127" s="13" t="s">
        <v>806</v>
      </c>
      <c r="D127" s="13" t="s">
        <v>495</v>
      </c>
      <c r="E127" s="13" t="s">
        <v>807</v>
      </c>
      <c r="F127" s="13" t="s">
        <v>513</v>
      </c>
      <c r="G127" s="13">
        <v>2</v>
      </c>
      <c r="H127" s="13" t="s">
        <v>571</v>
      </c>
      <c r="I127" s="13" t="s">
        <v>808</v>
      </c>
      <c r="J127" s="13">
        <v>199</v>
      </c>
      <c r="K127" s="13" t="s">
        <v>500</v>
      </c>
      <c r="L127" s="13">
        <v>0</v>
      </c>
      <c r="M127" s="13">
        <v>6</v>
      </c>
    </row>
    <row r="128" spans="1:13">
      <c r="A128" s="13" t="s">
        <v>272</v>
      </c>
      <c r="B128" s="13"/>
      <c r="C128" s="13" t="s">
        <v>809</v>
      </c>
      <c r="D128" s="13" t="s">
        <v>495</v>
      </c>
      <c r="E128" s="13" t="s">
        <v>810</v>
      </c>
      <c r="F128" s="13" t="s">
        <v>517</v>
      </c>
      <c r="G128" s="13">
        <v>5</v>
      </c>
      <c r="H128" s="13" t="s">
        <v>556</v>
      </c>
      <c r="I128" s="13" t="s">
        <v>811</v>
      </c>
      <c r="J128" s="13">
        <v>66</v>
      </c>
      <c r="K128" s="13" t="s">
        <v>500</v>
      </c>
      <c r="L128" s="13">
        <v>0</v>
      </c>
      <c r="M128" s="13">
        <v>6.5</v>
      </c>
    </row>
    <row r="129" spans="1:13">
      <c r="A129" s="13" t="s">
        <v>274</v>
      </c>
      <c r="B129" s="13"/>
      <c r="C129" s="13" t="s">
        <v>684</v>
      </c>
      <c r="D129" s="13" t="s">
        <v>495</v>
      </c>
      <c r="E129" s="13" t="s">
        <v>685</v>
      </c>
      <c r="F129" s="13" t="s">
        <v>497</v>
      </c>
      <c r="G129" s="13">
        <v>3</v>
      </c>
      <c r="H129" s="13" t="s">
        <v>508</v>
      </c>
      <c r="I129" s="13" t="s">
        <v>812</v>
      </c>
      <c r="J129" s="13">
        <v>82</v>
      </c>
      <c r="K129" s="13" t="s">
        <v>500</v>
      </c>
      <c r="L129" s="13">
        <v>0</v>
      </c>
      <c r="M129" s="13">
        <v>5.75</v>
      </c>
    </row>
    <row r="130" spans="1:13">
      <c r="A130" s="13" t="s">
        <v>276</v>
      </c>
      <c r="B130" s="13"/>
      <c r="C130" s="13" t="s">
        <v>813</v>
      </c>
      <c r="D130" s="13" t="s">
        <v>495</v>
      </c>
      <c r="E130" s="13" t="s">
        <v>814</v>
      </c>
      <c r="F130" s="13" t="s">
        <v>517</v>
      </c>
      <c r="G130" s="13">
        <v>1</v>
      </c>
      <c r="H130" s="13" t="s">
        <v>503</v>
      </c>
      <c r="I130" s="13" t="s">
        <v>815</v>
      </c>
      <c r="J130" s="13">
        <v>123</v>
      </c>
      <c r="K130" s="13" t="s">
        <v>500</v>
      </c>
      <c r="L130" s="13">
        <v>0</v>
      </c>
      <c r="M130" s="13">
        <v>12.75</v>
      </c>
    </row>
    <row r="131" spans="1:13">
      <c r="A131" s="13" t="s">
        <v>278</v>
      </c>
      <c r="B131" s="13"/>
      <c r="C131" s="13" t="s">
        <v>816</v>
      </c>
      <c r="D131" s="13" t="s">
        <v>495</v>
      </c>
      <c r="E131" s="13" t="s">
        <v>817</v>
      </c>
      <c r="F131" s="13" t="s">
        <v>517</v>
      </c>
      <c r="G131" s="13">
        <v>6</v>
      </c>
      <c r="H131" s="13" t="s">
        <v>498</v>
      </c>
      <c r="I131" s="13" t="s">
        <v>805</v>
      </c>
      <c r="J131" s="13">
        <v>191</v>
      </c>
      <c r="K131" s="13" t="s">
        <v>500</v>
      </c>
      <c r="L131" s="13">
        <v>0</v>
      </c>
      <c r="M131" s="13">
        <v>6.5</v>
      </c>
    </row>
    <row r="132" spans="1:13">
      <c r="A132" s="13" t="s">
        <v>280</v>
      </c>
      <c r="B132" s="13"/>
      <c r="C132" s="13" t="s">
        <v>818</v>
      </c>
      <c r="D132" s="13" t="s">
        <v>495</v>
      </c>
      <c r="E132" s="13" t="s">
        <v>819</v>
      </c>
      <c r="F132" s="13" t="s">
        <v>513</v>
      </c>
      <c r="G132" s="13">
        <v>7</v>
      </c>
      <c r="H132" s="13" t="s">
        <v>518</v>
      </c>
      <c r="I132" s="13" t="s">
        <v>820</v>
      </c>
      <c r="J132" s="13">
        <v>136</v>
      </c>
      <c r="K132" s="13" t="s">
        <v>500</v>
      </c>
      <c r="L132" s="13">
        <v>0</v>
      </c>
      <c r="M132" s="13">
        <v>6.25</v>
      </c>
    </row>
    <row r="133" spans="1:13">
      <c r="A133" s="13" t="s">
        <v>282</v>
      </c>
      <c r="B133" s="13"/>
      <c r="C133" s="13" t="s">
        <v>821</v>
      </c>
      <c r="D133" s="13" t="s">
        <v>495</v>
      </c>
      <c r="E133" s="13" t="s">
        <v>822</v>
      </c>
      <c r="F133" s="13" t="s">
        <v>517</v>
      </c>
      <c r="G133" s="13">
        <v>4</v>
      </c>
      <c r="H133" s="13" t="s">
        <v>543</v>
      </c>
      <c r="I133" s="13" t="s">
        <v>823</v>
      </c>
      <c r="J133" s="13">
        <v>134</v>
      </c>
      <c r="K133" s="13" t="s">
        <v>527</v>
      </c>
      <c r="L133" s="13">
        <v>25</v>
      </c>
      <c r="M133" s="13">
        <v>6.5</v>
      </c>
    </row>
    <row r="134" spans="1:13">
      <c r="A134" s="13" t="s">
        <v>284</v>
      </c>
      <c r="B134" s="13"/>
      <c r="C134" s="13" t="s">
        <v>554</v>
      </c>
      <c r="D134" s="13" t="s">
        <v>495</v>
      </c>
      <c r="E134" s="13" t="s">
        <v>555</v>
      </c>
      <c r="F134" s="13" t="s">
        <v>513</v>
      </c>
      <c r="G134" s="13">
        <v>6</v>
      </c>
      <c r="H134" s="13" t="s">
        <v>522</v>
      </c>
      <c r="I134" s="13" t="s">
        <v>824</v>
      </c>
      <c r="J134" s="13">
        <v>184</v>
      </c>
      <c r="K134" s="13" t="s">
        <v>500</v>
      </c>
      <c r="L134" s="13">
        <v>0</v>
      </c>
      <c r="M134" s="13">
        <v>4.75</v>
      </c>
    </row>
    <row r="135" spans="1:13">
      <c r="A135" s="13" t="s">
        <v>286</v>
      </c>
      <c r="B135" s="13"/>
      <c r="C135" s="13" t="s">
        <v>825</v>
      </c>
      <c r="D135" s="13" t="s">
        <v>495</v>
      </c>
      <c r="E135" s="13" t="s">
        <v>826</v>
      </c>
      <c r="F135" s="13" t="s">
        <v>517</v>
      </c>
      <c r="G135" s="13">
        <v>5</v>
      </c>
      <c r="H135" s="13" t="s">
        <v>543</v>
      </c>
      <c r="I135" s="13" t="s">
        <v>827</v>
      </c>
      <c r="J135" s="13">
        <v>120</v>
      </c>
      <c r="K135" s="13" t="s">
        <v>527</v>
      </c>
      <c r="L135" s="13">
        <v>25</v>
      </c>
      <c r="M135" s="13">
        <v>9.5</v>
      </c>
    </row>
    <row r="136" spans="1:13">
      <c r="A136" s="13" t="s">
        <v>288</v>
      </c>
      <c r="B136" s="13"/>
      <c r="C136" s="13" t="s">
        <v>828</v>
      </c>
      <c r="D136" s="13" t="s">
        <v>495</v>
      </c>
      <c r="E136" s="13" t="s">
        <v>829</v>
      </c>
      <c r="F136" s="13" t="s">
        <v>517</v>
      </c>
      <c r="G136" s="13">
        <v>2</v>
      </c>
      <c r="H136" s="13" t="s">
        <v>522</v>
      </c>
      <c r="I136" s="13" t="s">
        <v>830</v>
      </c>
      <c r="J136" s="13">
        <v>418</v>
      </c>
      <c r="K136" s="13" t="s">
        <v>510</v>
      </c>
      <c r="L136" s="13">
        <v>25</v>
      </c>
      <c r="M136" s="13">
        <v>8.75</v>
      </c>
    </row>
    <row r="137" spans="1:13">
      <c r="A137" s="13" t="s">
        <v>290</v>
      </c>
      <c r="B137" s="13"/>
      <c r="C137" s="13" t="s">
        <v>831</v>
      </c>
      <c r="D137" s="13" t="s">
        <v>495</v>
      </c>
      <c r="E137" s="13" t="s">
        <v>832</v>
      </c>
      <c r="F137" s="13" t="s">
        <v>497</v>
      </c>
      <c r="G137" s="13">
        <v>6</v>
      </c>
      <c r="H137" s="13" t="s">
        <v>518</v>
      </c>
      <c r="I137" s="13" t="s">
        <v>833</v>
      </c>
      <c r="J137" s="13">
        <v>139</v>
      </c>
      <c r="K137" s="13" t="s">
        <v>500</v>
      </c>
      <c r="L137" s="13">
        <v>0</v>
      </c>
      <c r="M137" s="13">
        <v>7.5</v>
      </c>
    </row>
    <row r="138" spans="1:13">
      <c r="A138" s="13" t="s">
        <v>292</v>
      </c>
      <c r="B138" s="13"/>
      <c r="C138" s="13" t="s">
        <v>607</v>
      </c>
      <c r="D138" s="13" t="s">
        <v>495</v>
      </c>
      <c r="E138" s="13" t="s">
        <v>608</v>
      </c>
      <c r="F138" s="13" t="s">
        <v>497</v>
      </c>
      <c r="G138" s="13">
        <v>8</v>
      </c>
      <c r="H138" s="13" t="s">
        <v>726</v>
      </c>
      <c r="I138" s="13" t="s">
        <v>834</v>
      </c>
      <c r="J138" s="13">
        <v>144</v>
      </c>
      <c r="K138" s="13" t="s">
        <v>500</v>
      </c>
      <c r="L138" s="13">
        <v>0</v>
      </c>
      <c r="M138" s="13">
        <v>7.75</v>
      </c>
    </row>
    <row r="139" spans="1:13">
      <c r="A139" s="13" t="s">
        <v>294</v>
      </c>
      <c r="B139" s="13"/>
      <c r="C139" s="13" t="s">
        <v>835</v>
      </c>
      <c r="D139" s="13" t="s">
        <v>495</v>
      </c>
      <c r="E139" s="13" t="s">
        <v>836</v>
      </c>
      <c r="F139" s="13" t="s">
        <v>513</v>
      </c>
      <c r="G139" s="13">
        <v>5</v>
      </c>
      <c r="H139" s="13" t="s">
        <v>522</v>
      </c>
      <c r="I139" s="13" t="s">
        <v>837</v>
      </c>
      <c r="J139" s="13">
        <v>133</v>
      </c>
      <c r="K139" s="13" t="s">
        <v>500</v>
      </c>
      <c r="L139" s="13">
        <v>0</v>
      </c>
      <c r="M139" s="13">
        <v>3.5</v>
      </c>
    </row>
    <row r="140" spans="1:13">
      <c r="A140" s="13" t="s">
        <v>296</v>
      </c>
      <c r="B140" s="13"/>
      <c r="C140" s="13" t="s">
        <v>838</v>
      </c>
      <c r="D140" s="13" t="s">
        <v>495</v>
      </c>
      <c r="E140" s="13" t="s">
        <v>839</v>
      </c>
      <c r="F140" s="13" t="s">
        <v>517</v>
      </c>
      <c r="G140" s="13">
        <v>7</v>
      </c>
      <c r="H140" s="13" t="s">
        <v>556</v>
      </c>
      <c r="I140" s="13" t="s">
        <v>840</v>
      </c>
      <c r="J140" s="13">
        <v>124</v>
      </c>
      <c r="K140" s="13" t="s">
        <v>500</v>
      </c>
      <c r="L140" s="13">
        <v>0</v>
      </c>
      <c r="M140" s="13">
        <v>6.75</v>
      </c>
    </row>
    <row r="141" spans="1:13">
      <c r="A141" s="13" t="s">
        <v>298</v>
      </c>
      <c r="B141" s="13"/>
      <c r="C141" s="13" t="s">
        <v>841</v>
      </c>
      <c r="D141" s="13" t="s">
        <v>495</v>
      </c>
      <c r="E141" s="13" t="s">
        <v>842</v>
      </c>
      <c r="F141" s="13" t="s">
        <v>497</v>
      </c>
      <c r="G141" s="13">
        <v>6</v>
      </c>
      <c r="H141" s="13" t="s">
        <v>518</v>
      </c>
      <c r="I141" s="13" t="s">
        <v>843</v>
      </c>
      <c r="J141" s="13">
        <v>65</v>
      </c>
      <c r="K141" s="13" t="s">
        <v>500</v>
      </c>
      <c r="L141" s="13">
        <v>0</v>
      </c>
      <c r="M141" s="13">
        <v>7.5</v>
      </c>
    </row>
    <row r="142" spans="1:13">
      <c r="A142" s="13" t="s">
        <v>300</v>
      </c>
      <c r="B142" s="13"/>
      <c r="C142" s="13" t="s">
        <v>844</v>
      </c>
      <c r="D142" s="13" t="s">
        <v>495</v>
      </c>
      <c r="E142" s="13" t="s">
        <v>845</v>
      </c>
      <c r="F142" s="13" t="s">
        <v>517</v>
      </c>
      <c r="G142" s="13">
        <v>2</v>
      </c>
      <c r="H142" s="13" t="s">
        <v>522</v>
      </c>
      <c r="I142" s="13" t="s">
        <v>846</v>
      </c>
      <c r="J142" s="13">
        <v>70</v>
      </c>
      <c r="K142" s="13" t="s">
        <v>527</v>
      </c>
      <c r="L142" s="13">
        <v>25</v>
      </c>
      <c r="M142" s="13">
        <v>12.5</v>
      </c>
    </row>
    <row r="143" spans="1:13">
      <c r="A143" s="13" t="s">
        <v>302</v>
      </c>
      <c r="B143" s="13"/>
      <c r="C143" s="13" t="s">
        <v>847</v>
      </c>
      <c r="D143" s="13" t="s">
        <v>495</v>
      </c>
      <c r="E143" s="13" t="s">
        <v>848</v>
      </c>
      <c r="F143" s="13" t="s">
        <v>507</v>
      </c>
      <c r="G143" s="13">
        <v>3</v>
      </c>
      <c r="H143" s="13" t="s">
        <v>508</v>
      </c>
      <c r="I143" s="13" t="s">
        <v>849</v>
      </c>
      <c r="J143" s="13">
        <v>142</v>
      </c>
      <c r="K143" s="13" t="s">
        <v>500</v>
      </c>
      <c r="L143" s="13">
        <v>0</v>
      </c>
      <c r="M143" s="13">
        <v>5</v>
      </c>
    </row>
    <row r="144" spans="1:13">
      <c r="A144" s="13" t="s">
        <v>304</v>
      </c>
      <c r="B144" s="13"/>
      <c r="C144" s="13" t="s">
        <v>850</v>
      </c>
      <c r="D144" s="13" t="s">
        <v>495</v>
      </c>
      <c r="E144" s="13" t="s">
        <v>851</v>
      </c>
      <c r="F144" s="13" t="s">
        <v>497</v>
      </c>
      <c r="G144" s="13">
        <v>5</v>
      </c>
      <c r="H144" s="13" t="s">
        <v>522</v>
      </c>
      <c r="I144" s="13" t="s">
        <v>852</v>
      </c>
      <c r="J144" s="13">
        <v>91</v>
      </c>
      <c r="K144" s="13" t="s">
        <v>500</v>
      </c>
      <c r="L144" s="13">
        <v>0</v>
      </c>
      <c r="M144" s="13">
        <v>5.75</v>
      </c>
    </row>
    <row r="145" spans="1:13">
      <c r="A145" s="13" t="s">
        <v>306</v>
      </c>
      <c r="B145" s="13"/>
      <c r="C145" s="13" t="s">
        <v>853</v>
      </c>
      <c r="D145" s="13" t="s">
        <v>495</v>
      </c>
      <c r="E145" s="13" t="s">
        <v>854</v>
      </c>
      <c r="F145" s="13" t="s">
        <v>513</v>
      </c>
      <c r="G145" s="13">
        <v>4</v>
      </c>
      <c r="H145" s="13" t="s">
        <v>571</v>
      </c>
      <c r="I145" s="13" t="s">
        <v>855</v>
      </c>
      <c r="J145" s="13">
        <v>251</v>
      </c>
      <c r="K145" s="13" t="s">
        <v>510</v>
      </c>
      <c r="L145" s="13">
        <v>50</v>
      </c>
      <c r="M145" s="13">
        <v>5.25</v>
      </c>
    </row>
    <row r="146" spans="1:13">
      <c r="A146" s="13" t="s">
        <v>308</v>
      </c>
      <c r="B146" s="13"/>
      <c r="C146" s="13" t="s">
        <v>654</v>
      </c>
      <c r="D146" s="13" t="s">
        <v>495</v>
      </c>
      <c r="E146" s="13" t="s">
        <v>655</v>
      </c>
      <c r="F146" s="13" t="s">
        <v>517</v>
      </c>
      <c r="G146" s="13">
        <v>2</v>
      </c>
      <c r="H146" s="13" t="s">
        <v>508</v>
      </c>
      <c r="I146" s="13" t="s">
        <v>856</v>
      </c>
      <c r="J146" s="13">
        <v>84</v>
      </c>
      <c r="K146" s="13" t="s">
        <v>500</v>
      </c>
      <c r="L146" s="13">
        <v>0</v>
      </c>
      <c r="M146" s="13">
        <v>6.75</v>
      </c>
    </row>
    <row r="147" spans="1:13">
      <c r="A147" s="13" t="s">
        <v>310</v>
      </c>
      <c r="B147" s="13"/>
      <c r="C147" s="13" t="s">
        <v>857</v>
      </c>
      <c r="D147" s="13" t="s">
        <v>495</v>
      </c>
      <c r="E147" s="13" t="s">
        <v>858</v>
      </c>
      <c r="F147" s="13" t="s">
        <v>517</v>
      </c>
      <c r="G147" s="13">
        <v>3</v>
      </c>
      <c r="H147" s="13" t="s">
        <v>518</v>
      </c>
      <c r="I147" s="13" t="s">
        <v>859</v>
      </c>
      <c r="J147" s="13">
        <v>41</v>
      </c>
      <c r="K147" s="13" t="s">
        <v>510</v>
      </c>
      <c r="L147" s="13">
        <v>25</v>
      </c>
      <c r="M147" s="13">
        <v>8.25</v>
      </c>
    </row>
    <row r="148" spans="1:13">
      <c r="A148" s="13" t="s">
        <v>312</v>
      </c>
      <c r="B148" s="13" t="s">
        <v>48</v>
      </c>
      <c r="C148" s="13" t="s">
        <v>558</v>
      </c>
      <c r="D148" s="13" t="s">
        <v>495</v>
      </c>
      <c r="E148" s="13" t="s">
        <v>559</v>
      </c>
      <c r="F148" s="13" t="s">
        <v>517</v>
      </c>
      <c r="G148" s="13">
        <v>6</v>
      </c>
      <c r="H148" s="13" t="s">
        <v>518</v>
      </c>
      <c r="I148" s="13" t="s">
        <v>560</v>
      </c>
      <c r="J148" s="13">
        <v>40</v>
      </c>
      <c r="K148" s="13" t="s">
        <v>500</v>
      </c>
      <c r="L148" s="13">
        <v>0</v>
      </c>
      <c r="M148" s="13">
        <v>6.5</v>
      </c>
    </row>
    <row r="149" spans="1:13">
      <c r="A149" s="13" t="s">
        <v>313</v>
      </c>
      <c r="B149" s="13"/>
      <c r="C149" s="13" t="s">
        <v>860</v>
      </c>
      <c r="D149" s="13" t="s">
        <v>495</v>
      </c>
      <c r="E149" s="13" t="s">
        <v>861</v>
      </c>
      <c r="F149" s="13" t="s">
        <v>517</v>
      </c>
      <c r="G149" s="13">
        <v>4</v>
      </c>
      <c r="H149" s="13" t="s">
        <v>571</v>
      </c>
      <c r="I149" s="13" t="s">
        <v>862</v>
      </c>
      <c r="J149" s="13">
        <v>88</v>
      </c>
      <c r="K149" s="13" t="s">
        <v>500</v>
      </c>
      <c r="L149" s="13">
        <v>0</v>
      </c>
      <c r="M149" s="13">
        <v>6.5</v>
      </c>
    </row>
    <row r="150" spans="1:13">
      <c r="A150" s="13" t="s">
        <v>315</v>
      </c>
      <c r="B150" s="13"/>
      <c r="C150" s="13" t="s">
        <v>863</v>
      </c>
      <c r="D150" s="13" t="s">
        <v>495</v>
      </c>
      <c r="E150" s="13" t="s">
        <v>864</v>
      </c>
      <c r="F150" s="13" t="s">
        <v>497</v>
      </c>
      <c r="G150" s="13">
        <v>2</v>
      </c>
      <c r="H150" s="13" t="s">
        <v>508</v>
      </c>
      <c r="I150" s="13" t="s">
        <v>865</v>
      </c>
      <c r="J150" s="13">
        <v>102</v>
      </c>
      <c r="K150" s="13" t="s">
        <v>500</v>
      </c>
      <c r="L150" s="13">
        <v>0</v>
      </c>
      <c r="M150" s="13">
        <v>7.5</v>
      </c>
    </row>
    <row r="151" spans="1:13">
      <c r="A151" s="13" t="s">
        <v>317</v>
      </c>
      <c r="B151" s="13"/>
      <c r="C151" s="13" t="s">
        <v>866</v>
      </c>
      <c r="D151" s="13" t="s">
        <v>495</v>
      </c>
      <c r="E151" s="13" t="s">
        <v>867</v>
      </c>
      <c r="F151" s="13" t="s">
        <v>517</v>
      </c>
      <c r="G151" s="13">
        <v>3</v>
      </c>
      <c r="H151" s="13" t="s">
        <v>522</v>
      </c>
      <c r="I151" s="13" t="s">
        <v>868</v>
      </c>
      <c r="J151" s="13">
        <v>53</v>
      </c>
      <c r="K151" s="13" t="s">
        <v>527</v>
      </c>
      <c r="L151" s="13">
        <v>50</v>
      </c>
      <c r="M151" s="13">
        <v>9.75</v>
      </c>
    </row>
    <row r="152" spans="1:13">
      <c r="A152" s="13" t="s">
        <v>319</v>
      </c>
      <c r="B152" s="13"/>
      <c r="C152" s="13" t="s">
        <v>869</v>
      </c>
      <c r="D152" s="13" t="s">
        <v>495</v>
      </c>
      <c r="E152" s="13" t="s">
        <v>870</v>
      </c>
      <c r="F152" s="13" t="s">
        <v>497</v>
      </c>
      <c r="G152" s="13">
        <v>7</v>
      </c>
      <c r="H152" s="13" t="s">
        <v>556</v>
      </c>
      <c r="I152" s="13" t="s">
        <v>871</v>
      </c>
      <c r="J152" s="13">
        <v>75</v>
      </c>
      <c r="K152" s="13" t="s">
        <v>527</v>
      </c>
      <c r="L152" s="13">
        <v>25</v>
      </c>
      <c r="M152" s="13">
        <v>5.75</v>
      </c>
    </row>
    <row r="153" spans="1:13">
      <c r="A153" s="13" t="s">
        <v>321</v>
      </c>
      <c r="B153" s="13"/>
      <c r="C153" s="13" t="s">
        <v>586</v>
      </c>
      <c r="D153" s="13" t="s">
        <v>495</v>
      </c>
      <c r="E153" s="13" t="s">
        <v>587</v>
      </c>
      <c r="F153" s="13" t="s">
        <v>507</v>
      </c>
      <c r="G153" s="13">
        <v>7</v>
      </c>
      <c r="H153" s="13" t="s">
        <v>556</v>
      </c>
      <c r="I153" s="13" t="s">
        <v>872</v>
      </c>
      <c r="J153" s="13">
        <v>189</v>
      </c>
      <c r="K153" s="13" t="s">
        <v>500</v>
      </c>
      <c r="L153" s="13">
        <v>0</v>
      </c>
      <c r="M153" s="13">
        <v>6</v>
      </c>
    </row>
    <row r="154" spans="1:13">
      <c r="A154" s="13" t="s">
        <v>323</v>
      </c>
      <c r="B154" s="13"/>
      <c r="C154" s="13" t="s">
        <v>873</v>
      </c>
      <c r="D154" s="13" t="s">
        <v>495</v>
      </c>
      <c r="E154" s="13" t="s">
        <v>874</v>
      </c>
      <c r="F154" s="13" t="s">
        <v>507</v>
      </c>
      <c r="G154" s="13">
        <v>3</v>
      </c>
      <c r="H154" s="13" t="s">
        <v>508</v>
      </c>
      <c r="I154" s="13" t="s">
        <v>875</v>
      </c>
      <c r="J154" s="13">
        <v>105</v>
      </c>
      <c r="K154" s="13" t="s">
        <v>500</v>
      </c>
      <c r="L154" s="13">
        <v>0</v>
      </c>
      <c r="M154" s="13">
        <v>6</v>
      </c>
    </row>
    <row r="155" spans="1:13">
      <c r="A155" s="13" t="s">
        <v>325</v>
      </c>
      <c r="B155" s="13" t="s">
        <v>19</v>
      </c>
      <c r="C155" s="13" t="s">
        <v>515</v>
      </c>
      <c r="D155" s="13" t="s">
        <v>495</v>
      </c>
      <c r="E155" s="13" t="s">
        <v>516</v>
      </c>
      <c r="F155" s="13" t="s">
        <v>517</v>
      </c>
      <c r="G155" s="13">
        <v>6</v>
      </c>
      <c r="H155" s="13" t="s">
        <v>518</v>
      </c>
      <c r="I155" s="13" t="s">
        <v>519</v>
      </c>
      <c r="J155" s="13">
        <v>94</v>
      </c>
      <c r="K155" s="13" t="s">
        <v>510</v>
      </c>
      <c r="L155" s="13">
        <v>25</v>
      </c>
      <c r="M155" s="13">
        <v>8.5</v>
      </c>
    </row>
    <row r="156" spans="1:13">
      <c r="A156" s="13" t="s">
        <v>326</v>
      </c>
      <c r="B156" s="13" t="s">
        <v>72</v>
      </c>
      <c r="C156" s="13" t="s">
        <v>589</v>
      </c>
      <c r="D156" s="13" t="s">
        <v>495</v>
      </c>
      <c r="E156" s="13" t="s">
        <v>590</v>
      </c>
      <c r="F156" s="13" t="s">
        <v>513</v>
      </c>
      <c r="G156" s="13">
        <v>1</v>
      </c>
      <c r="H156" s="13" t="s">
        <v>536</v>
      </c>
      <c r="I156" s="13" t="s">
        <v>537</v>
      </c>
      <c r="J156" s="13">
        <v>275</v>
      </c>
      <c r="K156" s="13" t="s">
        <v>500</v>
      </c>
      <c r="L156" s="13">
        <v>0</v>
      </c>
      <c r="M156" s="13">
        <v>5.75</v>
      </c>
    </row>
    <row r="157" spans="1:13">
      <c r="A157" s="13" t="s">
        <v>327</v>
      </c>
      <c r="B157" s="13"/>
      <c r="C157" s="13" t="s">
        <v>876</v>
      </c>
      <c r="D157" s="13" t="s">
        <v>495</v>
      </c>
      <c r="E157" s="13" t="s">
        <v>877</v>
      </c>
      <c r="F157" s="13" t="s">
        <v>507</v>
      </c>
      <c r="G157" s="13">
        <v>6</v>
      </c>
      <c r="H157" s="13" t="s">
        <v>543</v>
      </c>
      <c r="I157" s="13" t="s">
        <v>878</v>
      </c>
      <c r="J157" s="13">
        <v>176</v>
      </c>
      <c r="K157" s="13" t="s">
        <v>500</v>
      </c>
      <c r="L157" s="13">
        <v>0</v>
      </c>
      <c r="M157" s="13">
        <v>3.75</v>
      </c>
    </row>
    <row r="158" spans="1:13">
      <c r="A158" s="13" t="s">
        <v>329</v>
      </c>
      <c r="B158" s="13"/>
      <c r="C158" s="13" t="s">
        <v>579</v>
      </c>
      <c r="D158" s="13" t="s">
        <v>495</v>
      </c>
      <c r="E158" s="13" t="s">
        <v>580</v>
      </c>
      <c r="F158" s="13" t="s">
        <v>507</v>
      </c>
      <c r="G158" s="13">
        <v>5</v>
      </c>
      <c r="H158" s="13" t="s">
        <v>522</v>
      </c>
      <c r="I158" s="13" t="s">
        <v>879</v>
      </c>
      <c r="J158" s="13">
        <v>114</v>
      </c>
      <c r="K158" s="13" t="s">
        <v>500</v>
      </c>
      <c r="L158" s="13">
        <v>0</v>
      </c>
      <c r="M158" s="13">
        <v>4</v>
      </c>
    </row>
    <row r="159" spans="1:13">
      <c r="A159" s="13" t="s">
        <v>331</v>
      </c>
      <c r="B159" s="13" t="s">
        <v>108</v>
      </c>
      <c r="C159" s="13" t="s">
        <v>639</v>
      </c>
      <c r="D159" s="13" t="s">
        <v>495</v>
      </c>
      <c r="E159" s="13" t="s">
        <v>640</v>
      </c>
      <c r="F159" s="13" t="s">
        <v>513</v>
      </c>
      <c r="G159" s="13">
        <v>3</v>
      </c>
      <c r="H159" s="13" t="s">
        <v>508</v>
      </c>
      <c r="I159" s="13" t="s">
        <v>641</v>
      </c>
      <c r="J159" s="13">
        <v>184</v>
      </c>
      <c r="K159" s="13" t="s">
        <v>500</v>
      </c>
      <c r="L159" s="13">
        <v>0</v>
      </c>
      <c r="M159" s="13">
        <v>4.75</v>
      </c>
    </row>
    <row r="160" spans="1:13">
      <c r="A160" s="13" t="s">
        <v>332</v>
      </c>
      <c r="B160" s="13"/>
      <c r="C160" s="13" t="s">
        <v>880</v>
      </c>
      <c r="D160" s="13" t="s">
        <v>495</v>
      </c>
      <c r="E160" s="13" t="s">
        <v>881</v>
      </c>
      <c r="F160" s="13" t="s">
        <v>507</v>
      </c>
      <c r="G160" s="13">
        <v>6</v>
      </c>
      <c r="H160" s="13" t="s">
        <v>518</v>
      </c>
      <c r="I160" s="13" t="s">
        <v>581</v>
      </c>
      <c r="J160" s="13">
        <v>166</v>
      </c>
      <c r="K160" s="13" t="s">
        <v>500</v>
      </c>
      <c r="L160" s="13">
        <v>0</v>
      </c>
      <c r="M160" s="13">
        <v>4</v>
      </c>
    </row>
    <row r="161" spans="1:13">
      <c r="A161" s="13" t="s">
        <v>334</v>
      </c>
      <c r="B161" s="13"/>
      <c r="C161" s="13" t="s">
        <v>548</v>
      </c>
      <c r="D161" s="13" t="s">
        <v>495</v>
      </c>
      <c r="E161" s="13" t="s">
        <v>549</v>
      </c>
      <c r="F161" s="13" t="s">
        <v>507</v>
      </c>
      <c r="G161" s="13">
        <v>2</v>
      </c>
      <c r="H161" s="13" t="s">
        <v>498</v>
      </c>
      <c r="I161" s="13" t="s">
        <v>882</v>
      </c>
      <c r="J161" s="13">
        <v>151</v>
      </c>
      <c r="K161" s="13" t="s">
        <v>527</v>
      </c>
      <c r="L161" s="13">
        <v>25</v>
      </c>
      <c r="M161" s="13">
        <v>4.75</v>
      </c>
    </row>
    <row r="162" spans="1:13">
      <c r="A162" s="13" t="s">
        <v>336</v>
      </c>
      <c r="B162" s="13" t="s">
        <v>31</v>
      </c>
      <c r="C162" s="13" t="s">
        <v>534</v>
      </c>
      <c r="D162" s="13" t="s">
        <v>495</v>
      </c>
      <c r="E162" s="13" t="s">
        <v>535</v>
      </c>
      <c r="F162" s="13" t="s">
        <v>517</v>
      </c>
      <c r="G162" s="13">
        <v>1</v>
      </c>
      <c r="H162" s="13" t="s">
        <v>536</v>
      </c>
      <c r="I162" s="13" t="s">
        <v>537</v>
      </c>
      <c r="J162" s="13">
        <v>26</v>
      </c>
      <c r="K162" s="13" t="s">
        <v>500</v>
      </c>
      <c r="L162" s="13">
        <v>0</v>
      </c>
      <c r="M162" s="13">
        <v>8</v>
      </c>
    </row>
    <row r="163" spans="1:13">
      <c r="A163" s="13" t="s">
        <v>337</v>
      </c>
      <c r="B163" s="13"/>
      <c r="C163" s="13" t="s">
        <v>780</v>
      </c>
      <c r="D163" s="13" t="s">
        <v>495</v>
      </c>
      <c r="E163" s="13" t="s">
        <v>781</v>
      </c>
      <c r="F163" s="13" t="s">
        <v>507</v>
      </c>
      <c r="G163" s="13">
        <v>1</v>
      </c>
      <c r="H163" s="13" t="s">
        <v>536</v>
      </c>
      <c r="I163" s="13" t="s">
        <v>537</v>
      </c>
      <c r="J163" s="13">
        <v>188</v>
      </c>
      <c r="K163" s="13" t="s">
        <v>510</v>
      </c>
      <c r="L163" s="13">
        <v>25</v>
      </c>
      <c r="M163" s="13">
        <v>6</v>
      </c>
    </row>
    <row r="164" spans="1:13">
      <c r="A164" s="13" t="s">
        <v>339</v>
      </c>
      <c r="B164" s="13" t="s">
        <v>156</v>
      </c>
      <c r="C164" s="13" t="s">
        <v>696</v>
      </c>
      <c r="D164" s="13" t="s">
        <v>495</v>
      </c>
      <c r="E164" s="13" t="s">
        <v>697</v>
      </c>
      <c r="F164" s="13" t="s">
        <v>507</v>
      </c>
      <c r="G164" s="13">
        <v>8</v>
      </c>
      <c r="H164" s="13" t="s">
        <v>698</v>
      </c>
      <c r="I164" s="13" t="s">
        <v>699</v>
      </c>
      <c r="J164" s="13">
        <v>194</v>
      </c>
      <c r="K164" s="13" t="s">
        <v>500</v>
      </c>
      <c r="L164" s="13">
        <v>0</v>
      </c>
      <c r="M164" s="13">
        <v>4.5</v>
      </c>
    </row>
    <row r="165" spans="1:13">
      <c r="A165" s="13" t="s">
        <v>340</v>
      </c>
      <c r="B165" s="13"/>
      <c r="C165" s="13" t="s">
        <v>883</v>
      </c>
      <c r="D165" s="13" t="s">
        <v>495</v>
      </c>
      <c r="E165" s="13" t="s">
        <v>884</v>
      </c>
      <c r="F165" s="13" t="s">
        <v>497</v>
      </c>
      <c r="G165" s="13">
        <v>6</v>
      </c>
      <c r="H165" s="13" t="s">
        <v>556</v>
      </c>
      <c r="I165" s="13" t="s">
        <v>885</v>
      </c>
      <c r="J165" s="13">
        <v>84</v>
      </c>
      <c r="K165" s="13" t="s">
        <v>500</v>
      </c>
      <c r="L165" s="13">
        <v>0</v>
      </c>
      <c r="M165" s="13">
        <v>5.75</v>
      </c>
    </row>
    <row r="166" spans="1:13">
      <c r="A166" s="13" t="s">
        <v>342</v>
      </c>
      <c r="B166" s="13" t="s">
        <v>272</v>
      </c>
      <c r="C166" s="13" t="s">
        <v>809</v>
      </c>
      <c r="D166" s="13" t="s">
        <v>495</v>
      </c>
      <c r="E166" s="13" t="s">
        <v>810</v>
      </c>
      <c r="F166" s="13" t="s">
        <v>517</v>
      </c>
      <c r="G166" s="13">
        <v>5</v>
      </c>
      <c r="H166" s="13" t="s">
        <v>556</v>
      </c>
      <c r="I166" s="13" t="s">
        <v>811</v>
      </c>
      <c r="J166" s="13">
        <v>66</v>
      </c>
      <c r="K166" s="13" t="s">
        <v>500</v>
      </c>
      <c r="L166" s="13">
        <v>0</v>
      </c>
      <c r="M166" s="13">
        <v>6.5</v>
      </c>
    </row>
    <row r="167" spans="1:13">
      <c r="A167" s="13" t="s">
        <v>343</v>
      </c>
      <c r="B167" s="13"/>
      <c r="C167" s="13" t="s">
        <v>886</v>
      </c>
      <c r="D167" s="13" t="s">
        <v>495</v>
      </c>
      <c r="E167" s="13" t="s">
        <v>887</v>
      </c>
      <c r="F167" s="13" t="s">
        <v>517</v>
      </c>
      <c r="G167" s="13">
        <v>2</v>
      </c>
      <c r="H167" s="13" t="s">
        <v>498</v>
      </c>
      <c r="I167" s="13" t="s">
        <v>888</v>
      </c>
      <c r="J167" s="13">
        <v>79</v>
      </c>
      <c r="K167" s="13" t="s">
        <v>510</v>
      </c>
      <c r="L167" s="13">
        <v>25</v>
      </c>
      <c r="M167" s="13">
        <v>9.5</v>
      </c>
    </row>
    <row r="168" spans="1:13">
      <c r="A168" s="13" t="s">
        <v>345</v>
      </c>
      <c r="B168" s="13"/>
      <c r="C168" s="13" t="s">
        <v>520</v>
      </c>
      <c r="D168" s="13" t="s">
        <v>495</v>
      </c>
      <c r="E168" s="13" t="s">
        <v>521</v>
      </c>
      <c r="F168" s="13" t="s">
        <v>517</v>
      </c>
      <c r="G168" s="13">
        <v>5</v>
      </c>
      <c r="H168" s="13" t="s">
        <v>498</v>
      </c>
      <c r="I168" s="13" t="s">
        <v>889</v>
      </c>
      <c r="J168" s="13">
        <v>98</v>
      </c>
      <c r="K168" s="13" t="s">
        <v>500</v>
      </c>
      <c r="L168" s="13">
        <v>0</v>
      </c>
      <c r="M168" s="13">
        <v>8</v>
      </c>
    </row>
    <row r="169" spans="1:13">
      <c r="A169" s="13" t="s">
        <v>347</v>
      </c>
      <c r="B169" s="13" t="s">
        <v>114</v>
      </c>
      <c r="C169" s="13" t="s">
        <v>648</v>
      </c>
      <c r="D169" s="13" t="s">
        <v>495</v>
      </c>
      <c r="E169" s="13" t="s">
        <v>649</v>
      </c>
      <c r="F169" s="13" t="s">
        <v>513</v>
      </c>
      <c r="G169" s="13">
        <v>5</v>
      </c>
      <c r="H169" s="13" t="s">
        <v>522</v>
      </c>
      <c r="I169" s="13" t="s">
        <v>650</v>
      </c>
      <c r="J169" s="13">
        <v>154</v>
      </c>
      <c r="K169" s="13" t="s">
        <v>500</v>
      </c>
      <c r="L169" s="13">
        <v>0</v>
      </c>
      <c r="M169" s="13">
        <v>6</v>
      </c>
    </row>
    <row r="170" spans="1:13">
      <c r="A170" s="13" t="s">
        <v>348</v>
      </c>
      <c r="B170" s="13"/>
      <c r="C170" s="13" t="s">
        <v>890</v>
      </c>
      <c r="D170" s="13" t="s">
        <v>495</v>
      </c>
      <c r="E170" s="13" t="s">
        <v>891</v>
      </c>
      <c r="F170" s="13" t="s">
        <v>513</v>
      </c>
      <c r="G170" s="13">
        <v>3</v>
      </c>
      <c r="H170" s="13" t="s">
        <v>508</v>
      </c>
      <c r="I170" s="13" t="s">
        <v>892</v>
      </c>
      <c r="J170" s="13">
        <v>232</v>
      </c>
      <c r="K170" s="13" t="s">
        <v>527</v>
      </c>
      <c r="L170" s="13">
        <v>25</v>
      </c>
      <c r="M170" s="13">
        <v>5.25</v>
      </c>
    </row>
    <row r="171" spans="1:13">
      <c r="A171" s="13" t="s">
        <v>350</v>
      </c>
      <c r="B171" s="13" t="s">
        <v>258</v>
      </c>
      <c r="C171" s="13" t="s">
        <v>524</v>
      </c>
      <c r="D171" s="13" t="s">
        <v>495</v>
      </c>
      <c r="E171" s="13" t="s">
        <v>525</v>
      </c>
      <c r="F171" s="13" t="s">
        <v>513</v>
      </c>
      <c r="G171" s="13">
        <v>3</v>
      </c>
      <c r="H171" s="13" t="s">
        <v>508</v>
      </c>
      <c r="I171" s="13" t="s">
        <v>796</v>
      </c>
      <c r="J171" s="13">
        <v>176</v>
      </c>
      <c r="K171" s="13" t="s">
        <v>527</v>
      </c>
      <c r="L171" s="13">
        <v>25</v>
      </c>
      <c r="M171" s="13">
        <v>6</v>
      </c>
    </row>
    <row r="172" spans="1:13">
      <c r="A172" s="13" t="s">
        <v>351</v>
      </c>
      <c r="B172" s="13"/>
      <c r="C172" s="13" t="s">
        <v>780</v>
      </c>
      <c r="D172" s="13" t="s">
        <v>495</v>
      </c>
      <c r="E172" s="13" t="s">
        <v>781</v>
      </c>
      <c r="F172" s="13" t="s">
        <v>507</v>
      </c>
      <c r="G172" s="13">
        <v>2</v>
      </c>
      <c r="H172" s="13" t="s">
        <v>543</v>
      </c>
      <c r="I172" s="13" t="s">
        <v>893</v>
      </c>
      <c r="J172" s="13">
        <v>69</v>
      </c>
      <c r="K172" s="13" t="s">
        <v>510</v>
      </c>
      <c r="L172" s="13">
        <v>25</v>
      </c>
      <c r="M172" s="13">
        <v>6</v>
      </c>
    </row>
    <row r="173" spans="1:13">
      <c r="A173" s="13" t="s">
        <v>353</v>
      </c>
      <c r="B173" s="13"/>
      <c r="C173" s="13" t="s">
        <v>894</v>
      </c>
      <c r="D173" s="13" t="s">
        <v>495</v>
      </c>
      <c r="E173" s="13" t="s">
        <v>895</v>
      </c>
      <c r="F173" s="13" t="s">
        <v>517</v>
      </c>
      <c r="G173" s="13">
        <v>5</v>
      </c>
      <c r="H173" s="13" t="s">
        <v>571</v>
      </c>
      <c r="I173" s="13" t="s">
        <v>896</v>
      </c>
      <c r="J173" s="13">
        <v>112</v>
      </c>
      <c r="K173" s="13" t="s">
        <v>500</v>
      </c>
      <c r="L173" s="13">
        <v>0</v>
      </c>
      <c r="M173" s="13">
        <v>8.25</v>
      </c>
    </row>
    <row r="174" spans="1:13">
      <c r="A174" s="13" t="s">
        <v>355</v>
      </c>
      <c r="B174" s="13" t="s">
        <v>148</v>
      </c>
      <c r="C174" s="13" t="s">
        <v>692</v>
      </c>
      <c r="D174" s="13" t="s">
        <v>495</v>
      </c>
      <c r="E174" s="13" t="s">
        <v>693</v>
      </c>
      <c r="F174" s="13" t="s">
        <v>513</v>
      </c>
      <c r="G174" s="13">
        <v>1</v>
      </c>
      <c r="H174" s="13" t="s">
        <v>536</v>
      </c>
      <c r="I174" s="13" t="s">
        <v>537</v>
      </c>
      <c r="J174" s="13">
        <v>235</v>
      </c>
      <c r="K174" s="13" t="s">
        <v>510</v>
      </c>
      <c r="L174" s="13">
        <v>50</v>
      </c>
      <c r="M174" s="13">
        <v>5.25</v>
      </c>
    </row>
    <row r="175" spans="1:13">
      <c r="A175" s="13" t="s">
        <v>356</v>
      </c>
      <c r="B175" s="13"/>
      <c r="C175" s="13" t="s">
        <v>897</v>
      </c>
      <c r="D175" s="13" t="s">
        <v>495</v>
      </c>
      <c r="E175" s="13" t="s">
        <v>898</v>
      </c>
      <c r="F175" s="13" t="s">
        <v>513</v>
      </c>
      <c r="G175" s="13">
        <v>3</v>
      </c>
      <c r="H175" s="13" t="s">
        <v>508</v>
      </c>
      <c r="I175" s="13" t="s">
        <v>892</v>
      </c>
      <c r="J175" s="13">
        <v>175</v>
      </c>
      <c r="K175" s="13" t="s">
        <v>500</v>
      </c>
      <c r="L175" s="13">
        <v>0</v>
      </c>
      <c r="M175" s="13">
        <v>5.5</v>
      </c>
    </row>
    <row r="176" spans="1:13">
      <c r="A176" s="13" t="s">
        <v>358</v>
      </c>
      <c r="B176" s="13" t="s">
        <v>179</v>
      </c>
      <c r="C176" s="13" t="s">
        <v>678</v>
      </c>
      <c r="D176" s="13" t="s">
        <v>495</v>
      </c>
      <c r="E176" s="13" t="s">
        <v>679</v>
      </c>
      <c r="F176" s="13" t="s">
        <v>497</v>
      </c>
      <c r="G176" s="13">
        <v>7</v>
      </c>
      <c r="H176" s="13" t="s">
        <v>563</v>
      </c>
      <c r="I176" s="13" t="s">
        <v>717</v>
      </c>
      <c r="J176" s="13">
        <v>177</v>
      </c>
      <c r="K176" s="13" t="s">
        <v>500</v>
      </c>
      <c r="L176" s="13">
        <v>0</v>
      </c>
      <c r="M176" s="13">
        <v>5.25</v>
      </c>
    </row>
    <row r="177" spans="1:13">
      <c r="A177" s="13" t="s">
        <v>359</v>
      </c>
      <c r="B177" s="13"/>
      <c r="C177" s="13" t="s">
        <v>899</v>
      </c>
      <c r="D177" s="13" t="s">
        <v>495</v>
      </c>
      <c r="E177" s="13" t="s">
        <v>900</v>
      </c>
      <c r="F177" s="13" t="s">
        <v>497</v>
      </c>
      <c r="G177" s="13">
        <v>4</v>
      </c>
      <c r="H177" s="13" t="s">
        <v>571</v>
      </c>
      <c r="I177" s="13" t="s">
        <v>901</v>
      </c>
      <c r="J177" s="13">
        <v>165</v>
      </c>
      <c r="K177" s="13" t="s">
        <v>510</v>
      </c>
      <c r="L177" s="13">
        <v>25</v>
      </c>
      <c r="M177" s="13">
        <v>7.25</v>
      </c>
    </row>
    <row r="178" spans="1:13">
      <c r="A178" s="13" t="s">
        <v>361</v>
      </c>
      <c r="B178" s="13"/>
      <c r="C178" s="13" t="s">
        <v>595</v>
      </c>
      <c r="D178" s="13" t="s">
        <v>495</v>
      </c>
      <c r="E178" s="13" t="s">
        <v>596</v>
      </c>
      <c r="F178" s="13" t="s">
        <v>513</v>
      </c>
      <c r="G178" s="13">
        <v>6</v>
      </c>
      <c r="H178" s="13" t="s">
        <v>518</v>
      </c>
      <c r="I178" s="13" t="s">
        <v>902</v>
      </c>
      <c r="J178" s="13">
        <v>157</v>
      </c>
      <c r="K178" s="13" t="s">
        <v>500</v>
      </c>
      <c r="L178" s="13">
        <v>0</v>
      </c>
      <c r="M178" s="13">
        <v>3.75</v>
      </c>
    </row>
    <row r="179" spans="1:13">
      <c r="A179" s="13" t="s">
        <v>363</v>
      </c>
      <c r="B179" s="13"/>
      <c r="C179" s="13" t="s">
        <v>857</v>
      </c>
      <c r="D179" s="13" t="s">
        <v>495</v>
      </c>
      <c r="E179" s="13" t="s">
        <v>858</v>
      </c>
      <c r="F179" s="13" t="s">
        <v>517</v>
      </c>
      <c r="G179" s="13">
        <v>6</v>
      </c>
      <c r="H179" s="13" t="s">
        <v>498</v>
      </c>
      <c r="I179" s="13" t="s">
        <v>903</v>
      </c>
      <c r="J179" s="13">
        <v>63</v>
      </c>
      <c r="K179" s="13" t="s">
        <v>510</v>
      </c>
      <c r="L179" s="13">
        <v>25</v>
      </c>
      <c r="M179" s="13">
        <v>8.25</v>
      </c>
    </row>
    <row r="180" spans="1:13">
      <c r="A180" s="13" t="s">
        <v>365</v>
      </c>
      <c r="B180" s="13"/>
      <c r="C180" s="13" t="s">
        <v>904</v>
      </c>
      <c r="D180" s="13" t="s">
        <v>495</v>
      </c>
      <c r="E180" s="13" t="s">
        <v>905</v>
      </c>
      <c r="F180" s="13" t="s">
        <v>517</v>
      </c>
      <c r="G180" s="13">
        <v>5</v>
      </c>
      <c r="H180" s="13" t="s">
        <v>518</v>
      </c>
      <c r="I180" s="13" t="s">
        <v>906</v>
      </c>
      <c r="J180" s="13">
        <v>99</v>
      </c>
      <c r="K180" s="13" t="s">
        <v>500</v>
      </c>
      <c r="L180" s="13">
        <v>0</v>
      </c>
      <c r="M180" s="13">
        <v>6.5</v>
      </c>
    </row>
    <row r="181" spans="1:13">
      <c r="A181" s="13" t="s">
        <v>367</v>
      </c>
      <c r="B181" s="13"/>
      <c r="C181" s="13" t="s">
        <v>847</v>
      </c>
      <c r="D181" s="13" t="s">
        <v>495</v>
      </c>
      <c r="E181" s="13" t="s">
        <v>848</v>
      </c>
      <c r="F181" s="13" t="s">
        <v>507</v>
      </c>
      <c r="G181" s="13">
        <v>2</v>
      </c>
      <c r="H181" s="13" t="s">
        <v>508</v>
      </c>
      <c r="I181" s="13" t="s">
        <v>907</v>
      </c>
      <c r="J181" s="13">
        <v>163</v>
      </c>
      <c r="K181" s="13" t="s">
        <v>500</v>
      </c>
      <c r="L181" s="13">
        <v>0</v>
      </c>
      <c r="M181" s="13">
        <v>5</v>
      </c>
    </row>
    <row r="182" spans="1:13">
      <c r="A182" s="13" t="s">
        <v>369</v>
      </c>
      <c r="B182" s="13"/>
      <c r="C182" s="13" t="s">
        <v>908</v>
      </c>
      <c r="D182" s="13" t="s">
        <v>495</v>
      </c>
      <c r="E182" s="13" t="s">
        <v>909</v>
      </c>
      <c r="F182" s="13" t="s">
        <v>497</v>
      </c>
      <c r="G182" s="13">
        <v>6</v>
      </c>
      <c r="H182" s="13" t="s">
        <v>518</v>
      </c>
      <c r="I182" s="13" t="s">
        <v>910</v>
      </c>
      <c r="J182" s="13">
        <v>154</v>
      </c>
      <c r="K182" s="13" t="s">
        <v>500</v>
      </c>
      <c r="L182" s="13">
        <v>0</v>
      </c>
      <c r="M182" s="13">
        <v>7.5</v>
      </c>
    </row>
    <row r="183" spans="1:13">
      <c r="A183" s="13" t="s">
        <v>371</v>
      </c>
      <c r="B183" s="13" t="s">
        <v>270</v>
      </c>
      <c r="C183" s="13" t="s">
        <v>806</v>
      </c>
      <c r="D183" s="13" t="s">
        <v>495</v>
      </c>
      <c r="E183" s="13" t="s">
        <v>807</v>
      </c>
      <c r="F183" s="13" t="s">
        <v>513</v>
      </c>
      <c r="G183" s="13">
        <v>2</v>
      </c>
      <c r="H183" s="13" t="s">
        <v>571</v>
      </c>
      <c r="I183" s="13" t="s">
        <v>808</v>
      </c>
      <c r="J183" s="13">
        <v>199</v>
      </c>
      <c r="K183" s="13" t="s">
        <v>500</v>
      </c>
      <c r="L183" s="13">
        <v>0</v>
      </c>
      <c r="M183" s="13">
        <v>6</v>
      </c>
    </row>
    <row r="184" spans="1:13">
      <c r="A184" s="13" t="s">
        <v>372</v>
      </c>
      <c r="B184" s="13" t="s">
        <v>183</v>
      </c>
      <c r="C184" s="13" t="s">
        <v>721</v>
      </c>
      <c r="D184" s="13" t="s">
        <v>495</v>
      </c>
      <c r="E184" s="13" t="s">
        <v>722</v>
      </c>
      <c r="F184" s="13" t="s">
        <v>497</v>
      </c>
      <c r="G184" s="13">
        <v>1</v>
      </c>
      <c r="H184" s="13" t="s">
        <v>536</v>
      </c>
      <c r="I184" s="13" t="s">
        <v>537</v>
      </c>
      <c r="J184" s="13">
        <v>131</v>
      </c>
      <c r="K184" s="13" t="s">
        <v>500</v>
      </c>
      <c r="L184" s="13">
        <v>0</v>
      </c>
      <c r="M184" s="13">
        <v>6.75</v>
      </c>
    </row>
    <row r="185" spans="1:13">
      <c r="A185" s="13" t="s">
        <v>373</v>
      </c>
      <c r="B185" s="13"/>
      <c r="C185" s="13" t="s">
        <v>911</v>
      </c>
      <c r="D185" s="13" t="s">
        <v>495</v>
      </c>
      <c r="E185" s="13" t="s">
        <v>912</v>
      </c>
      <c r="F185" s="13" t="s">
        <v>507</v>
      </c>
      <c r="G185" s="13">
        <v>6</v>
      </c>
      <c r="H185" s="13" t="s">
        <v>518</v>
      </c>
      <c r="I185" s="13" t="s">
        <v>647</v>
      </c>
      <c r="J185" s="13">
        <v>161</v>
      </c>
      <c r="K185" s="13" t="s">
        <v>527</v>
      </c>
      <c r="L185" s="13">
        <v>25</v>
      </c>
      <c r="M185" s="13">
        <v>4.25</v>
      </c>
    </row>
    <row r="186" spans="1:13">
      <c r="A186" s="13" t="s">
        <v>375</v>
      </c>
      <c r="B186" s="13"/>
      <c r="C186" s="13" t="s">
        <v>531</v>
      </c>
      <c r="D186" s="13" t="s">
        <v>495</v>
      </c>
      <c r="E186" s="13" t="s">
        <v>532</v>
      </c>
      <c r="F186" s="13" t="s">
        <v>507</v>
      </c>
      <c r="G186" s="13">
        <v>2</v>
      </c>
      <c r="H186" s="13" t="s">
        <v>498</v>
      </c>
      <c r="I186" s="13" t="s">
        <v>913</v>
      </c>
      <c r="J186" s="13">
        <v>179</v>
      </c>
      <c r="K186" s="13" t="s">
        <v>500</v>
      </c>
      <c r="L186" s="13">
        <v>0</v>
      </c>
      <c r="M186" s="13">
        <v>4</v>
      </c>
    </row>
    <row r="187" spans="1:13">
      <c r="A187" s="13" t="s">
        <v>377</v>
      </c>
      <c r="B187" s="13"/>
      <c r="C187" s="13" t="s">
        <v>630</v>
      </c>
      <c r="D187" s="13" t="s">
        <v>495</v>
      </c>
      <c r="E187" s="13" t="s">
        <v>631</v>
      </c>
      <c r="F187" s="13" t="s">
        <v>497</v>
      </c>
      <c r="G187" s="13">
        <v>2</v>
      </c>
      <c r="H187" s="13" t="s">
        <v>498</v>
      </c>
      <c r="I187" s="13" t="s">
        <v>914</v>
      </c>
      <c r="J187" s="13">
        <v>169</v>
      </c>
      <c r="K187" s="13" t="s">
        <v>500</v>
      </c>
      <c r="L187" s="13">
        <v>0</v>
      </c>
      <c r="M187" s="13">
        <v>7.5</v>
      </c>
    </row>
    <row r="188" spans="1:13">
      <c r="A188" s="13" t="s">
        <v>379</v>
      </c>
      <c r="B188" s="13"/>
      <c r="C188" s="13" t="s">
        <v>569</v>
      </c>
      <c r="D188" s="13" t="s">
        <v>495</v>
      </c>
      <c r="E188" s="13" t="s">
        <v>570</v>
      </c>
      <c r="F188" s="13" t="s">
        <v>507</v>
      </c>
      <c r="G188" s="13">
        <v>1</v>
      </c>
      <c r="H188" s="13" t="s">
        <v>536</v>
      </c>
      <c r="I188" s="13" t="s">
        <v>537</v>
      </c>
      <c r="J188" s="13">
        <v>140</v>
      </c>
      <c r="K188" s="13" t="s">
        <v>500</v>
      </c>
      <c r="L188" s="13">
        <v>0</v>
      </c>
      <c r="M188" s="13">
        <v>4.25</v>
      </c>
    </row>
    <row r="189" spans="1:13">
      <c r="A189" s="13" t="s">
        <v>381</v>
      </c>
      <c r="B189" s="13"/>
      <c r="C189" s="13" t="s">
        <v>915</v>
      </c>
      <c r="D189" s="13" t="s">
        <v>495</v>
      </c>
      <c r="E189" s="13" t="s">
        <v>916</v>
      </c>
      <c r="F189" s="13" t="s">
        <v>507</v>
      </c>
      <c r="G189" s="13">
        <v>6</v>
      </c>
      <c r="H189" s="13" t="s">
        <v>518</v>
      </c>
      <c r="I189" s="13" t="s">
        <v>917</v>
      </c>
      <c r="J189" s="13">
        <v>146</v>
      </c>
      <c r="K189" s="13" t="s">
        <v>500</v>
      </c>
      <c r="L189" s="13">
        <v>0</v>
      </c>
      <c r="M189" s="13">
        <v>5.75</v>
      </c>
    </row>
    <row r="190" spans="1:13">
      <c r="A190" s="13" t="s">
        <v>383</v>
      </c>
      <c r="B190" s="13"/>
      <c r="C190" s="13" t="s">
        <v>918</v>
      </c>
      <c r="D190" s="13" t="s">
        <v>495</v>
      </c>
      <c r="E190" s="13" t="s">
        <v>919</v>
      </c>
      <c r="F190" s="13" t="s">
        <v>497</v>
      </c>
      <c r="G190" s="13">
        <v>3</v>
      </c>
      <c r="H190" s="13" t="s">
        <v>508</v>
      </c>
      <c r="I190" s="13" t="s">
        <v>920</v>
      </c>
      <c r="J190" s="13">
        <v>197</v>
      </c>
      <c r="K190" s="13" t="s">
        <v>500</v>
      </c>
      <c r="L190" s="13">
        <v>0</v>
      </c>
      <c r="M190" s="13">
        <v>7.5</v>
      </c>
    </row>
    <row r="191" spans="1:13">
      <c r="A191" s="13" t="s">
        <v>385</v>
      </c>
      <c r="B191" s="13" t="s">
        <v>240</v>
      </c>
      <c r="C191" s="13" t="s">
        <v>613</v>
      </c>
      <c r="D191" s="13" t="s">
        <v>495</v>
      </c>
      <c r="E191" s="13" t="s">
        <v>614</v>
      </c>
      <c r="F191" s="13" t="s">
        <v>517</v>
      </c>
      <c r="G191" s="13">
        <v>4</v>
      </c>
      <c r="H191" s="13" t="s">
        <v>536</v>
      </c>
      <c r="I191" s="13" t="s">
        <v>776</v>
      </c>
      <c r="J191" s="13">
        <v>35</v>
      </c>
      <c r="K191" s="13" t="s">
        <v>500</v>
      </c>
      <c r="L191" s="13">
        <v>0</v>
      </c>
      <c r="M191" s="13">
        <v>12.5</v>
      </c>
    </row>
    <row r="192" spans="1:13">
      <c r="A192" s="13" t="s">
        <v>386</v>
      </c>
      <c r="B192" s="13"/>
      <c r="C192" s="13" t="s">
        <v>751</v>
      </c>
      <c r="D192" s="13" t="s">
        <v>495</v>
      </c>
      <c r="E192" s="13" t="s">
        <v>752</v>
      </c>
      <c r="F192" s="13" t="s">
        <v>513</v>
      </c>
      <c r="G192" s="13">
        <v>4</v>
      </c>
      <c r="H192" s="13" t="s">
        <v>571</v>
      </c>
      <c r="I192" s="13" t="s">
        <v>921</v>
      </c>
      <c r="J192" s="13">
        <v>178</v>
      </c>
      <c r="K192" s="13" t="s">
        <v>500</v>
      </c>
      <c r="L192" s="13">
        <v>0</v>
      </c>
      <c r="M192" s="13">
        <v>6.25</v>
      </c>
    </row>
    <row r="193" spans="1:13">
      <c r="A193" s="13" t="s">
        <v>388</v>
      </c>
      <c r="B193" s="13" t="s">
        <v>55</v>
      </c>
      <c r="C193" s="13" t="s">
        <v>511</v>
      </c>
      <c r="D193" s="13" t="s">
        <v>495</v>
      </c>
      <c r="E193" s="13" t="s">
        <v>512</v>
      </c>
      <c r="F193" s="13" t="s">
        <v>513</v>
      </c>
      <c r="G193" s="13">
        <v>8</v>
      </c>
      <c r="H193" s="13" t="s">
        <v>503</v>
      </c>
      <c r="I193" s="13" t="s">
        <v>568</v>
      </c>
      <c r="J193" s="13">
        <v>137</v>
      </c>
      <c r="K193" s="13" t="s">
        <v>500</v>
      </c>
      <c r="L193" s="13">
        <v>0</v>
      </c>
      <c r="M193" s="13">
        <v>6.25</v>
      </c>
    </row>
    <row r="194" spans="1:13">
      <c r="A194" s="13" t="s">
        <v>389</v>
      </c>
      <c r="B194" s="13"/>
      <c r="C194" s="13" t="s">
        <v>816</v>
      </c>
      <c r="D194" s="13" t="s">
        <v>495</v>
      </c>
      <c r="E194" s="13" t="s">
        <v>817</v>
      </c>
      <c r="F194" s="13" t="s">
        <v>517</v>
      </c>
      <c r="G194" s="13">
        <v>4</v>
      </c>
      <c r="H194" s="13" t="s">
        <v>518</v>
      </c>
      <c r="I194" s="13" t="s">
        <v>922</v>
      </c>
      <c r="J194" s="13">
        <v>94</v>
      </c>
      <c r="K194" s="13" t="s">
        <v>500</v>
      </c>
      <c r="L194" s="13">
        <v>0</v>
      </c>
      <c r="M194" s="13">
        <v>6.5</v>
      </c>
    </row>
    <row r="195" spans="1:13">
      <c r="A195" s="13" t="s">
        <v>391</v>
      </c>
      <c r="B195" s="13"/>
      <c r="C195" s="13" t="s">
        <v>923</v>
      </c>
      <c r="D195" s="13" t="s">
        <v>495</v>
      </c>
      <c r="E195" s="13" t="s">
        <v>924</v>
      </c>
      <c r="F195" s="13" t="s">
        <v>513</v>
      </c>
      <c r="G195" s="13">
        <v>11</v>
      </c>
      <c r="H195" s="13" t="s">
        <v>698</v>
      </c>
      <c r="I195" s="13" t="s">
        <v>925</v>
      </c>
      <c r="J195" s="13">
        <v>94</v>
      </c>
      <c r="K195" s="13" t="s">
        <v>527</v>
      </c>
      <c r="L195" s="13">
        <v>25</v>
      </c>
      <c r="M195" s="13">
        <v>5.75</v>
      </c>
    </row>
    <row r="196" spans="1:13">
      <c r="A196" s="13" t="s">
        <v>393</v>
      </c>
      <c r="B196" s="13"/>
      <c r="C196" s="13" t="s">
        <v>787</v>
      </c>
      <c r="D196" s="13" t="s">
        <v>495</v>
      </c>
      <c r="E196" s="13" t="s">
        <v>788</v>
      </c>
      <c r="F196" s="13" t="s">
        <v>513</v>
      </c>
      <c r="G196" s="13">
        <v>3</v>
      </c>
      <c r="H196" s="13" t="s">
        <v>571</v>
      </c>
      <c r="I196" s="13" t="s">
        <v>926</v>
      </c>
      <c r="J196" s="13">
        <v>161</v>
      </c>
      <c r="K196" s="13" t="s">
        <v>500</v>
      </c>
      <c r="L196" s="13">
        <v>0</v>
      </c>
      <c r="M196" s="13">
        <v>3.5</v>
      </c>
    </row>
    <row r="197" spans="1:13">
      <c r="A197" s="13" t="s">
        <v>395</v>
      </c>
      <c r="B197" s="13" t="s">
        <v>132</v>
      </c>
      <c r="C197" s="13" t="s">
        <v>669</v>
      </c>
      <c r="D197" s="13" t="s">
        <v>495</v>
      </c>
      <c r="E197" s="13" t="s">
        <v>670</v>
      </c>
      <c r="F197" s="13" t="s">
        <v>497</v>
      </c>
      <c r="G197" s="13">
        <v>5</v>
      </c>
      <c r="H197" s="13" t="s">
        <v>522</v>
      </c>
      <c r="I197" s="13" t="s">
        <v>671</v>
      </c>
      <c r="J197" s="13">
        <v>93</v>
      </c>
      <c r="K197" s="13" t="s">
        <v>510</v>
      </c>
      <c r="L197" s="13">
        <v>50</v>
      </c>
      <c r="M197" s="13">
        <v>6.5</v>
      </c>
    </row>
    <row r="198" spans="1:13">
      <c r="A198" s="13" t="s">
        <v>396</v>
      </c>
      <c r="B198" s="13"/>
      <c r="C198" s="13" t="s">
        <v>869</v>
      </c>
      <c r="D198" s="13" t="s">
        <v>495</v>
      </c>
      <c r="E198" s="13" t="s">
        <v>870</v>
      </c>
      <c r="F198" s="13" t="s">
        <v>497</v>
      </c>
      <c r="G198" s="13">
        <v>3</v>
      </c>
      <c r="H198" s="13" t="s">
        <v>498</v>
      </c>
      <c r="I198" s="13" t="s">
        <v>927</v>
      </c>
      <c r="J198" s="13">
        <v>107</v>
      </c>
      <c r="K198" s="13" t="s">
        <v>527</v>
      </c>
      <c r="L198" s="13">
        <v>25</v>
      </c>
      <c r="M198" s="13">
        <v>5.75</v>
      </c>
    </row>
    <row r="199" spans="1:13">
      <c r="A199" s="13" t="s">
        <v>398</v>
      </c>
      <c r="B199" s="13"/>
      <c r="C199" s="13" t="s">
        <v>928</v>
      </c>
      <c r="D199" s="13" t="s">
        <v>495</v>
      </c>
      <c r="E199" s="13" t="s">
        <v>929</v>
      </c>
      <c r="F199" s="13" t="s">
        <v>497</v>
      </c>
      <c r="G199" s="13">
        <v>6</v>
      </c>
      <c r="H199" s="13" t="s">
        <v>518</v>
      </c>
      <c r="I199" s="13" t="s">
        <v>930</v>
      </c>
      <c r="J199" s="13">
        <v>116</v>
      </c>
      <c r="K199" s="13" t="s">
        <v>500</v>
      </c>
      <c r="L199" s="13">
        <v>0</v>
      </c>
      <c r="M199" s="13">
        <v>6</v>
      </c>
    </row>
    <row r="200" spans="1:13">
      <c r="A200" s="13" t="s">
        <v>400</v>
      </c>
      <c r="B200" s="13"/>
      <c r="C200" s="13" t="s">
        <v>751</v>
      </c>
      <c r="D200" s="13" t="s">
        <v>495</v>
      </c>
      <c r="E200" s="13" t="s">
        <v>752</v>
      </c>
      <c r="F200" s="13" t="s">
        <v>513</v>
      </c>
      <c r="G200" s="13">
        <v>2</v>
      </c>
      <c r="H200" s="13" t="s">
        <v>498</v>
      </c>
      <c r="I200" s="13" t="s">
        <v>931</v>
      </c>
      <c r="J200" s="13">
        <v>160</v>
      </c>
      <c r="K200" s="13" t="s">
        <v>500</v>
      </c>
      <c r="L200" s="13">
        <v>0</v>
      </c>
      <c r="M200" s="13">
        <v>6.25</v>
      </c>
    </row>
    <row r="201" spans="1:13">
      <c r="A201" s="13" t="s">
        <v>402</v>
      </c>
      <c r="B201" s="13"/>
      <c r="C201" s="13" t="s">
        <v>569</v>
      </c>
      <c r="D201" s="13" t="s">
        <v>495</v>
      </c>
      <c r="E201" s="13" t="s">
        <v>570</v>
      </c>
      <c r="F201" s="13" t="s">
        <v>507</v>
      </c>
      <c r="G201" s="13">
        <v>3</v>
      </c>
      <c r="H201" s="13" t="s">
        <v>508</v>
      </c>
      <c r="I201" s="13" t="s">
        <v>932</v>
      </c>
      <c r="J201" s="13">
        <v>126</v>
      </c>
      <c r="K201" s="13" t="s">
        <v>500</v>
      </c>
      <c r="L201" s="13">
        <v>0</v>
      </c>
      <c r="M201" s="13">
        <v>4.25</v>
      </c>
    </row>
    <row r="202" spans="1:13">
      <c r="A202" s="13" t="s">
        <v>404</v>
      </c>
      <c r="B202" s="13"/>
      <c r="C202" s="13" t="s">
        <v>880</v>
      </c>
      <c r="D202" s="13" t="s">
        <v>495</v>
      </c>
      <c r="E202" s="13" t="s">
        <v>881</v>
      </c>
      <c r="F202" s="13" t="s">
        <v>507</v>
      </c>
      <c r="G202" s="13">
        <v>4</v>
      </c>
      <c r="H202" s="13" t="s">
        <v>498</v>
      </c>
      <c r="I202" s="13" t="s">
        <v>933</v>
      </c>
      <c r="J202" s="13">
        <v>175</v>
      </c>
      <c r="K202" s="13" t="s">
        <v>500</v>
      </c>
      <c r="L202" s="13">
        <v>0</v>
      </c>
      <c r="M202" s="13">
        <v>4</v>
      </c>
    </row>
    <row r="203" spans="1:13">
      <c r="A203" s="13" t="s">
        <v>406</v>
      </c>
      <c r="B203" s="13"/>
      <c r="C203" s="13" t="s">
        <v>934</v>
      </c>
      <c r="D203" s="13" t="s">
        <v>495</v>
      </c>
      <c r="E203" s="13" t="s">
        <v>935</v>
      </c>
      <c r="F203" s="13" t="s">
        <v>507</v>
      </c>
      <c r="G203" s="13">
        <v>7</v>
      </c>
      <c r="H203" s="13" t="s">
        <v>518</v>
      </c>
      <c r="I203" s="13" t="s">
        <v>936</v>
      </c>
      <c r="J203" s="13">
        <v>121</v>
      </c>
      <c r="K203" s="13" t="s">
        <v>500</v>
      </c>
      <c r="L203" s="13">
        <v>0</v>
      </c>
      <c r="M203" s="13">
        <v>4.75</v>
      </c>
    </row>
    <row r="204" spans="1:13">
      <c r="A204" s="13" t="s">
        <v>408</v>
      </c>
      <c r="B204" s="13" t="s">
        <v>134</v>
      </c>
      <c r="C204" s="13" t="s">
        <v>672</v>
      </c>
      <c r="D204" s="13" t="s">
        <v>495</v>
      </c>
      <c r="E204" s="13" t="s">
        <v>673</v>
      </c>
      <c r="F204" s="13" t="s">
        <v>497</v>
      </c>
      <c r="G204" s="13">
        <v>7</v>
      </c>
      <c r="H204" s="13" t="s">
        <v>556</v>
      </c>
      <c r="I204" s="13" t="s">
        <v>674</v>
      </c>
      <c r="J204" s="13">
        <v>159</v>
      </c>
      <c r="K204" s="13" t="s">
        <v>500</v>
      </c>
      <c r="L204" s="13">
        <v>0</v>
      </c>
      <c r="M204" s="13">
        <v>5.75</v>
      </c>
    </row>
    <row r="205" spans="1:13">
      <c r="A205" s="13" t="s">
        <v>409</v>
      </c>
      <c r="B205" s="13"/>
      <c r="C205" s="13" t="s">
        <v>937</v>
      </c>
      <c r="D205" s="13" t="s">
        <v>495</v>
      </c>
      <c r="E205" s="13" t="s">
        <v>938</v>
      </c>
      <c r="F205" s="13" t="s">
        <v>497</v>
      </c>
      <c r="G205" s="13">
        <v>6</v>
      </c>
      <c r="H205" s="13" t="s">
        <v>518</v>
      </c>
      <c r="I205" s="13" t="s">
        <v>939</v>
      </c>
      <c r="J205" s="13">
        <v>187</v>
      </c>
      <c r="K205" s="13" t="s">
        <v>500</v>
      </c>
      <c r="L205" s="13">
        <v>0</v>
      </c>
      <c r="M205" s="13">
        <v>7.5</v>
      </c>
    </row>
    <row r="206" spans="1:13">
      <c r="A206" s="13" t="s">
        <v>411</v>
      </c>
      <c r="B206" s="13" t="s">
        <v>296</v>
      </c>
      <c r="C206" s="13" t="s">
        <v>838</v>
      </c>
      <c r="D206" s="13" t="s">
        <v>495</v>
      </c>
      <c r="E206" s="13" t="s">
        <v>839</v>
      </c>
      <c r="F206" s="13" t="s">
        <v>517</v>
      </c>
      <c r="G206" s="13">
        <v>7</v>
      </c>
      <c r="H206" s="13" t="s">
        <v>556</v>
      </c>
      <c r="I206" s="13" t="s">
        <v>840</v>
      </c>
      <c r="J206" s="13">
        <v>124</v>
      </c>
      <c r="K206" s="13" t="s">
        <v>500</v>
      </c>
      <c r="L206" s="13">
        <v>0</v>
      </c>
      <c r="M206" s="13">
        <v>6.75</v>
      </c>
    </row>
    <row r="207" spans="1:13">
      <c r="A207" s="13" t="s">
        <v>412</v>
      </c>
      <c r="B207" s="13"/>
      <c r="C207" s="13" t="s">
        <v>940</v>
      </c>
      <c r="D207" s="13" t="s">
        <v>495</v>
      </c>
      <c r="E207" s="13" t="s">
        <v>941</v>
      </c>
      <c r="F207" s="13" t="s">
        <v>497</v>
      </c>
      <c r="G207" s="13">
        <v>3</v>
      </c>
      <c r="H207" s="13" t="s">
        <v>571</v>
      </c>
      <c r="I207" s="13" t="s">
        <v>942</v>
      </c>
      <c r="J207" s="13">
        <v>115</v>
      </c>
      <c r="K207" s="13" t="s">
        <v>500</v>
      </c>
      <c r="L207" s="13">
        <v>0</v>
      </c>
      <c r="M207" s="13">
        <v>5.75</v>
      </c>
    </row>
    <row r="208" spans="1:13">
      <c r="A208" s="13" t="s">
        <v>414</v>
      </c>
      <c r="B208" s="13"/>
      <c r="C208" s="13" t="s">
        <v>943</v>
      </c>
      <c r="D208" s="13" t="s">
        <v>495</v>
      </c>
      <c r="E208" s="13" t="s">
        <v>944</v>
      </c>
      <c r="F208" s="13" t="s">
        <v>513</v>
      </c>
      <c r="G208" s="13">
        <v>8</v>
      </c>
      <c r="H208" s="13" t="s">
        <v>503</v>
      </c>
      <c r="I208" s="13" t="s">
        <v>945</v>
      </c>
      <c r="J208" s="13">
        <v>195</v>
      </c>
      <c r="K208" s="13" t="s">
        <v>500</v>
      </c>
      <c r="L208" s="13">
        <v>0</v>
      </c>
      <c r="M208" s="13">
        <v>3.5</v>
      </c>
    </row>
    <row r="209" spans="1:13">
      <c r="A209" s="13" t="s">
        <v>416</v>
      </c>
      <c r="B209" s="13"/>
      <c r="C209" s="13" t="s">
        <v>576</v>
      </c>
      <c r="D209" s="13" t="s">
        <v>495</v>
      </c>
      <c r="E209" s="13" t="s">
        <v>577</v>
      </c>
      <c r="F209" s="13" t="s">
        <v>507</v>
      </c>
      <c r="G209" s="13">
        <v>3</v>
      </c>
      <c r="H209" s="13" t="s">
        <v>498</v>
      </c>
      <c r="I209" s="13" t="s">
        <v>946</v>
      </c>
      <c r="J209" s="13">
        <v>160</v>
      </c>
      <c r="K209" s="13" t="s">
        <v>500</v>
      </c>
      <c r="L209" s="13">
        <v>0</v>
      </c>
      <c r="M209" s="13">
        <v>5</v>
      </c>
    </row>
    <row r="210" spans="1:13">
      <c r="A210" s="13" t="s">
        <v>418</v>
      </c>
      <c r="B210" s="13"/>
      <c r="C210" s="13" t="s">
        <v>947</v>
      </c>
      <c r="D210" s="13" t="s">
        <v>495</v>
      </c>
      <c r="E210" s="13" t="s">
        <v>948</v>
      </c>
      <c r="F210" s="13" t="s">
        <v>513</v>
      </c>
      <c r="G210" s="13">
        <v>9</v>
      </c>
      <c r="H210" s="13" t="s">
        <v>556</v>
      </c>
      <c r="I210" s="13" t="s">
        <v>949</v>
      </c>
      <c r="J210" s="13">
        <v>124</v>
      </c>
      <c r="K210" s="13" t="s">
        <v>500</v>
      </c>
      <c r="L210" s="13">
        <v>0</v>
      </c>
      <c r="M210" s="13">
        <v>5.75</v>
      </c>
    </row>
    <row r="211" spans="1:13">
      <c r="A211" s="13" t="s">
        <v>420</v>
      </c>
      <c r="B211" s="13"/>
      <c r="C211" s="13" t="s">
        <v>669</v>
      </c>
      <c r="D211" s="13" t="s">
        <v>495</v>
      </c>
      <c r="E211" s="13" t="s">
        <v>670</v>
      </c>
      <c r="F211" s="13" t="s">
        <v>497</v>
      </c>
      <c r="G211" s="13">
        <v>7</v>
      </c>
      <c r="H211" s="13" t="s">
        <v>563</v>
      </c>
      <c r="I211" s="13" t="s">
        <v>950</v>
      </c>
      <c r="J211" s="13">
        <v>181</v>
      </c>
      <c r="K211" s="13" t="s">
        <v>510</v>
      </c>
      <c r="L211" s="13">
        <v>50</v>
      </c>
      <c r="M211" s="13">
        <v>6.5</v>
      </c>
    </row>
    <row r="212" spans="1:13">
      <c r="A212" s="13" t="s">
        <v>422</v>
      </c>
      <c r="B212" s="13"/>
      <c r="C212" s="13" t="s">
        <v>918</v>
      </c>
      <c r="D212" s="13" t="s">
        <v>495</v>
      </c>
      <c r="E212" s="13" t="s">
        <v>919</v>
      </c>
      <c r="F212" s="13" t="s">
        <v>497</v>
      </c>
      <c r="G212" s="13">
        <v>5</v>
      </c>
      <c r="H212" s="13" t="s">
        <v>522</v>
      </c>
      <c r="I212" s="13" t="s">
        <v>951</v>
      </c>
      <c r="J212" s="13">
        <v>99</v>
      </c>
      <c r="K212" s="13" t="s">
        <v>500</v>
      </c>
      <c r="L212" s="13">
        <v>0</v>
      </c>
      <c r="M212" s="13">
        <v>7.5</v>
      </c>
    </row>
    <row r="213" spans="1:13">
      <c r="A213" s="13" t="s">
        <v>424</v>
      </c>
      <c r="B213" s="13"/>
      <c r="C213" s="13" t="s">
        <v>579</v>
      </c>
      <c r="D213" s="13" t="s">
        <v>495</v>
      </c>
      <c r="E213" s="13" t="s">
        <v>580</v>
      </c>
      <c r="F213" s="13" t="s">
        <v>507</v>
      </c>
      <c r="G213" s="13">
        <v>7</v>
      </c>
      <c r="H213" s="13" t="s">
        <v>698</v>
      </c>
      <c r="I213" s="13" t="s">
        <v>952</v>
      </c>
      <c r="J213" s="13">
        <v>188</v>
      </c>
      <c r="K213" s="13" t="s">
        <v>500</v>
      </c>
      <c r="L213" s="13">
        <v>0</v>
      </c>
      <c r="M213" s="13">
        <v>4</v>
      </c>
    </row>
    <row r="214" spans="1:13">
      <c r="A214" s="13" t="s">
        <v>426</v>
      </c>
      <c r="B214" s="13"/>
      <c r="C214" s="13" t="s">
        <v>883</v>
      </c>
      <c r="D214" s="13" t="s">
        <v>495</v>
      </c>
      <c r="E214" s="13" t="s">
        <v>884</v>
      </c>
      <c r="F214" s="13" t="s">
        <v>497</v>
      </c>
      <c r="G214" s="13">
        <v>3</v>
      </c>
      <c r="H214" s="13" t="s">
        <v>571</v>
      </c>
      <c r="I214" s="13" t="s">
        <v>953</v>
      </c>
      <c r="J214" s="13">
        <v>79</v>
      </c>
      <c r="K214" s="13" t="s">
        <v>500</v>
      </c>
      <c r="L214" s="13">
        <v>0</v>
      </c>
      <c r="M214" s="13">
        <v>5.75</v>
      </c>
    </row>
    <row r="215" spans="1:13">
      <c r="A215" s="13" t="s">
        <v>428</v>
      </c>
      <c r="B215" s="13" t="s">
        <v>152</v>
      </c>
      <c r="C215" s="13" t="s">
        <v>619</v>
      </c>
      <c r="D215" s="13" t="s">
        <v>495</v>
      </c>
      <c r="E215" s="13" t="s">
        <v>620</v>
      </c>
      <c r="F215" s="13" t="s">
        <v>497</v>
      </c>
      <c r="G215" s="13">
        <v>3</v>
      </c>
      <c r="H215" s="13" t="s">
        <v>508</v>
      </c>
      <c r="I215" s="13" t="s">
        <v>695</v>
      </c>
      <c r="J215" s="13">
        <v>150</v>
      </c>
      <c r="K215" s="13" t="s">
        <v>500</v>
      </c>
      <c r="L215" s="13">
        <v>0</v>
      </c>
      <c r="M215" s="13">
        <v>7.5</v>
      </c>
    </row>
    <row r="216" spans="1:13">
      <c r="A216" s="13" t="s">
        <v>429</v>
      </c>
      <c r="B216" s="13" t="s">
        <v>41</v>
      </c>
      <c r="C216" s="13" t="s">
        <v>548</v>
      </c>
      <c r="D216" s="13" t="s">
        <v>495</v>
      </c>
      <c r="E216" s="13" t="s">
        <v>549</v>
      </c>
      <c r="F216" s="13" t="s">
        <v>507</v>
      </c>
      <c r="G216" s="13">
        <v>6</v>
      </c>
      <c r="H216" s="13" t="s">
        <v>518</v>
      </c>
      <c r="I216" s="13" t="s">
        <v>550</v>
      </c>
      <c r="J216" s="13">
        <v>131</v>
      </c>
      <c r="K216" s="13" t="s">
        <v>527</v>
      </c>
      <c r="L216" s="13">
        <v>25</v>
      </c>
      <c r="M216" s="13">
        <v>4.75</v>
      </c>
    </row>
    <row r="217" spans="1:13">
      <c r="A217" s="13" t="s">
        <v>430</v>
      </c>
      <c r="B217" s="13"/>
      <c r="C217" s="13" t="s">
        <v>628</v>
      </c>
      <c r="D217" s="13" t="s">
        <v>495</v>
      </c>
      <c r="E217" s="13" t="s">
        <v>629</v>
      </c>
      <c r="F217" s="13" t="s">
        <v>507</v>
      </c>
      <c r="G217" s="13">
        <v>5</v>
      </c>
      <c r="H217" s="13" t="s">
        <v>522</v>
      </c>
      <c r="I217" s="13" t="s">
        <v>954</v>
      </c>
      <c r="J217" s="13">
        <v>87</v>
      </c>
      <c r="K217" s="13" t="s">
        <v>500</v>
      </c>
      <c r="L217" s="13">
        <v>0</v>
      </c>
      <c r="M217" s="13">
        <v>6</v>
      </c>
    </row>
    <row r="218" spans="1:13">
      <c r="A218" s="13" t="s">
        <v>432</v>
      </c>
      <c r="B218" s="13"/>
      <c r="C218" s="13" t="s">
        <v>955</v>
      </c>
      <c r="D218" s="13" t="s">
        <v>495</v>
      </c>
      <c r="E218" s="13" t="s">
        <v>956</v>
      </c>
      <c r="F218" s="13" t="s">
        <v>517</v>
      </c>
      <c r="G218" s="13">
        <v>6</v>
      </c>
      <c r="H218" s="13" t="s">
        <v>556</v>
      </c>
      <c r="I218" s="13" t="s">
        <v>957</v>
      </c>
      <c r="J218" s="13">
        <v>96</v>
      </c>
      <c r="K218" s="13" t="s">
        <v>500</v>
      </c>
      <c r="L218" s="13">
        <v>0</v>
      </c>
      <c r="M218" s="13">
        <v>8</v>
      </c>
    </row>
    <row r="219" spans="1:13">
      <c r="A219" s="13" t="s">
        <v>434</v>
      </c>
      <c r="B219" s="13"/>
      <c r="C219" s="13" t="s">
        <v>592</v>
      </c>
      <c r="D219" s="13" t="s">
        <v>495</v>
      </c>
      <c r="E219" s="13" t="s">
        <v>593</v>
      </c>
      <c r="F219" s="13" t="s">
        <v>497</v>
      </c>
      <c r="G219" s="13">
        <v>6</v>
      </c>
      <c r="H219" s="13" t="s">
        <v>518</v>
      </c>
      <c r="I219" s="13" t="s">
        <v>958</v>
      </c>
      <c r="J219" s="13">
        <v>152</v>
      </c>
      <c r="K219" s="13" t="s">
        <v>500</v>
      </c>
      <c r="L219" s="13">
        <v>0</v>
      </c>
      <c r="M219" s="13">
        <v>6.5</v>
      </c>
    </row>
    <row r="220" spans="1:13">
      <c r="A220" s="13" t="s">
        <v>436</v>
      </c>
      <c r="B220" s="13"/>
      <c r="C220" s="13" t="s">
        <v>959</v>
      </c>
      <c r="D220" s="13" t="s">
        <v>495</v>
      </c>
      <c r="E220" s="13" t="s">
        <v>960</v>
      </c>
      <c r="F220" s="13" t="s">
        <v>497</v>
      </c>
      <c r="G220" s="13">
        <v>8</v>
      </c>
      <c r="H220" s="13" t="s">
        <v>498</v>
      </c>
      <c r="I220" s="13" t="s">
        <v>961</v>
      </c>
      <c r="J220" s="13">
        <v>101</v>
      </c>
      <c r="K220" s="13" t="s">
        <v>500</v>
      </c>
      <c r="L220" s="13">
        <v>0</v>
      </c>
      <c r="M220" s="13">
        <v>5.75</v>
      </c>
    </row>
    <row r="221" spans="1:13">
      <c r="A221" s="13" t="s">
        <v>438</v>
      </c>
      <c r="B221" s="13"/>
      <c r="C221" s="13" t="s">
        <v>816</v>
      </c>
      <c r="D221" s="13" t="s">
        <v>495</v>
      </c>
      <c r="E221" s="13" t="s">
        <v>817</v>
      </c>
      <c r="F221" s="13" t="s">
        <v>517</v>
      </c>
      <c r="G221" s="13">
        <v>1</v>
      </c>
      <c r="H221" s="13" t="s">
        <v>536</v>
      </c>
      <c r="I221" s="13" t="s">
        <v>537</v>
      </c>
      <c r="J221" s="13">
        <v>89</v>
      </c>
      <c r="K221" s="13" t="s">
        <v>500</v>
      </c>
      <c r="L221" s="13">
        <v>0</v>
      </c>
      <c r="M221" s="13">
        <v>6.5</v>
      </c>
    </row>
    <row r="223" spans="1:13">
      <c r="A223" s="14" t="s">
        <v>962</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Guide</vt:lpstr>
      <vt:lpstr>Label</vt:lpstr>
      <vt:lpstr>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AGSWENKO FRAKA DAWA PUTRA [대학원 / 경제학과]</cp:lastModifiedBy>
  <dcterms:created xsi:type="dcterms:W3CDTF">2026-09-30T05:46:06Z</dcterms:created>
  <dcterms:modified xsi:type="dcterms:W3CDTF">2026-10-05T08:54:29Z</dcterms:modified>
</cp:coreProperties>
</file>